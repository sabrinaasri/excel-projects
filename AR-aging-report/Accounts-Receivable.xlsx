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fanii\Documents\Ajeng\excel-projects\AR-aging-report\"/>
    </mc:Choice>
  </mc:AlternateContent>
  <xr:revisionPtr revIDLastSave="0" documentId="13_ncr:1_{377D3210-D8FE-43A8-AF57-F257BEFCD3DC}" xr6:coauthVersionLast="47" xr6:coauthVersionMax="47" xr10:uidLastSave="{00000000-0000-0000-0000-000000000000}"/>
  <bookViews>
    <workbookView xWindow="-108" yWindow="-108" windowWidth="23256" windowHeight="12456" xr2:uid="{00000000-000D-0000-FFFF-FFFF00000000}"/>
  </bookViews>
  <sheets>
    <sheet name="dashboard" sheetId="3" r:id="rId1"/>
    <sheet name="aging_distribution" sheetId="15" r:id="rId2"/>
    <sheet name="AR_aging" sheetId="16" r:id="rId3"/>
    <sheet name="monthly" sheetId="20" r:id="rId4"/>
    <sheet name="AR_table" sheetId="1" r:id="rId5"/>
  </sheets>
  <definedNames>
    <definedName name="_xlnm._FilterDatabase" localSheetId="4" hidden="1">AR_table!$A$1:$J$600</definedName>
    <definedName name="_xlcn.WorksheetConnection_AccountsReceivable.xlsxAR_table11" hidden="1">AR_table[]</definedName>
    <definedName name="Slicer_aging_category">#N/A</definedName>
    <definedName name="Slicer_customer">#N/A</definedName>
    <definedName name="Timeline_due_date">#N/A</definedName>
  </definedNames>
  <calcPr calcId="191029"/>
  <pivotCaches>
    <pivotCache cacheId="1151" r:id="rId6"/>
    <pivotCache cacheId="1154" r:id="rId7"/>
    <pivotCache cacheId="1157" r:id="rId8"/>
  </pivotCaches>
  <extLst>
    <ext xmlns:x14="http://schemas.microsoft.com/office/spreadsheetml/2009/9/main" uri="{876F7934-8845-4945-9796-88D515C7AA90}">
      <x14:pivotCaches>
        <pivotCache cacheId="79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31"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AR_table 1" name="AR_table 1" connection="WorksheetConnection_Accounts-Receivable.xlsx!AR_table1"/>
        </x15:modelTables>
        <x15:extLst>
          <ext xmlns:x16="http://schemas.microsoft.com/office/spreadsheetml/2014/11/main" uri="{9835A34E-60A6-4A7C-AAB8-D5F71C897F49}">
            <x16:modelTimeGroupings>
              <x16:modelTimeGrouping tableName="AR_table 1" columnName="invoice_date" columnId="invoice_date">
                <x16:calculatedTimeColumn columnName="invoice_date (Year)" columnId="invoice_date (Year)" contentType="years" isSelected="1"/>
                <x16:calculatedTimeColumn columnName="invoice_date (Quarter)" columnId="invoice_date (Quarter)" contentType="quarters" isSelected="1"/>
                <x16:calculatedTimeColumn columnName="invoice_date (Month Index)" columnId="invoice_date (Month Index)" contentType="monthsindex" isSelected="1"/>
                <x16:calculatedTimeColumn columnName="invoice_date (Month)" columnId="invoice_date (Month)" contentType="months" isSelected="1"/>
              </x16:modelTimeGrouping>
              <x16:modelTimeGrouping tableName="AR_table 1" columnName="due_date" columnId="due_date">
                <x16:calculatedTimeColumn columnName="due_date (Year)" columnId="due_date (Year)" contentType="years" isSelected="1"/>
                <x16:calculatedTimeColumn columnName="due_date (Quarter)" columnId="due_date (Quarter)" contentType="quarters" isSelected="1"/>
                <x16:calculatedTimeColumn columnName="due_date (Month Index)" columnId="due_date (Month Index)" contentType="monthsindex" isSelected="1"/>
                <x16:calculatedTimeColumn columnName="due_date (Month)" columnId="du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0" i="1" l="1"/>
  <c r="F600" i="1" s="1"/>
  <c r="D599" i="1"/>
  <c r="F599" i="1" s="1"/>
  <c r="D598" i="1"/>
  <c r="F598" i="1" s="1"/>
  <c r="D597" i="1"/>
  <c r="F597" i="1" s="1"/>
  <c r="D596" i="1"/>
  <c r="F596" i="1" s="1"/>
  <c r="D595" i="1"/>
  <c r="F595" i="1" s="1"/>
  <c r="D594" i="1"/>
  <c r="F594" i="1" s="1"/>
  <c r="D593" i="1"/>
  <c r="F593" i="1" s="1"/>
  <c r="D592" i="1"/>
  <c r="F592" i="1" s="1"/>
  <c r="D591" i="1"/>
  <c r="F591" i="1" s="1"/>
  <c r="D590" i="1"/>
  <c r="F590" i="1" s="1"/>
  <c r="D589" i="1"/>
  <c r="F589" i="1" s="1"/>
  <c r="D588" i="1"/>
  <c r="F588" i="1" s="1"/>
  <c r="D587" i="1"/>
  <c r="F587" i="1" s="1"/>
  <c r="D586" i="1"/>
  <c r="F586" i="1" s="1"/>
  <c r="D585" i="1"/>
  <c r="F585" i="1" s="1"/>
  <c r="D584" i="1"/>
  <c r="F584" i="1" s="1"/>
  <c r="D583" i="1"/>
  <c r="F583" i="1" s="1"/>
  <c r="D582" i="1"/>
  <c r="F582" i="1" s="1"/>
  <c r="D581" i="1"/>
  <c r="F581" i="1" s="1"/>
  <c r="D580" i="1"/>
  <c r="F580" i="1" s="1"/>
  <c r="D579" i="1"/>
  <c r="F579" i="1" s="1"/>
  <c r="D578" i="1"/>
  <c r="F578" i="1" s="1"/>
  <c r="D577" i="1"/>
  <c r="F577" i="1" s="1"/>
  <c r="D576" i="1"/>
  <c r="F576" i="1" s="1"/>
  <c r="D575" i="1"/>
  <c r="F575" i="1" s="1"/>
  <c r="D574" i="1"/>
  <c r="F574" i="1" s="1"/>
  <c r="D573" i="1"/>
  <c r="F573" i="1" s="1"/>
  <c r="D572" i="1"/>
  <c r="F572" i="1" s="1"/>
  <c r="D571" i="1"/>
  <c r="F571" i="1" s="1"/>
  <c r="D570" i="1"/>
  <c r="F570" i="1" s="1"/>
  <c r="D569" i="1"/>
  <c r="F569" i="1" s="1"/>
  <c r="D568" i="1"/>
  <c r="F568" i="1" s="1"/>
  <c r="D567" i="1"/>
  <c r="F567" i="1" s="1"/>
  <c r="D566" i="1"/>
  <c r="F566" i="1" s="1"/>
  <c r="D565" i="1"/>
  <c r="F565" i="1" s="1"/>
  <c r="D564" i="1"/>
  <c r="F564" i="1" s="1"/>
  <c r="D563" i="1"/>
  <c r="F563" i="1" s="1"/>
  <c r="D562" i="1"/>
  <c r="F562" i="1" s="1"/>
  <c r="D561" i="1"/>
  <c r="F561" i="1" s="1"/>
  <c r="D560" i="1"/>
  <c r="F560" i="1" s="1"/>
  <c r="D559" i="1"/>
  <c r="F559" i="1" s="1"/>
  <c r="D558" i="1"/>
  <c r="F558" i="1" s="1"/>
  <c r="D557" i="1"/>
  <c r="F557" i="1" s="1"/>
  <c r="D556" i="1"/>
  <c r="F556" i="1" s="1"/>
  <c r="D555" i="1"/>
  <c r="F555" i="1" s="1"/>
  <c r="D554" i="1"/>
  <c r="F554" i="1" s="1"/>
  <c r="D553" i="1"/>
  <c r="F553" i="1" s="1"/>
  <c r="D552" i="1"/>
  <c r="F552" i="1" s="1"/>
  <c r="D551" i="1"/>
  <c r="F551" i="1" s="1"/>
  <c r="D550" i="1"/>
  <c r="F550" i="1" s="1"/>
  <c r="D549" i="1"/>
  <c r="F549" i="1" s="1"/>
  <c r="D548" i="1"/>
  <c r="F548" i="1" s="1"/>
  <c r="D547" i="1"/>
  <c r="F547" i="1" s="1"/>
  <c r="D546" i="1"/>
  <c r="F546" i="1" s="1"/>
  <c r="D545" i="1"/>
  <c r="F545" i="1" s="1"/>
  <c r="D544" i="1"/>
  <c r="F544" i="1" s="1"/>
  <c r="D543" i="1"/>
  <c r="F543" i="1" s="1"/>
  <c r="D542" i="1"/>
  <c r="F542" i="1" s="1"/>
  <c r="D541" i="1"/>
  <c r="F541" i="1" s="1"/>
  <c r="D540" i="1"/>
  <c r="F540" i="1" s="1"/>
  <c r="D539" i="1"/>
  <c r="F539" i="1" s="1"/>
  <c r="D538" i="1"/>
  <c r="F538" i="1" s="1"/>
  <c r="D537" i="1"/>
  <c r="F537" i="1" s="1"/>
  <c r="D536" i="1"/>
  <c r="F536" i="1" s="1"/>
  <c r="D535" i="1"/>
  <c r="F535" i="1" s="1"/>
  <c r="D534" i="1"/>
  <c r="F534" i="1" s="1"/>
  <c r="D533" i="1"/>
  <c r="F533" i="1" s="1"/>
  <c r="D532" i="1"/>
  <c r="F532" i="1" s="1"/>
  <c r="D531" i="1"/>
  <c r="F531" i="1" s="1"/>
  <c r="D530" i="1"/>
  <c r="F530" i="1" s="1"/>
  <c r="D529" i="1"/>
  <c r="F529" i="1" s="1"/>
  <c r="D528" i="1"/>
  <c r="F528" i="1" s="1"/>
  <c r="D527" i="1"/>
  <c r="F527" i="1" s="1"/>
  <c r="D526" i="1"/>
  <c r="F526" i="1" s="1"/>
  <c r="D525" i="1"/>
  <c r="F525" i="1" s="1"/>
  <c r="D524" i="1"/>
  <c r="F524" i="1" s="1"/>
  <c r="D523" i="1"/>
  <c r="F523" i="1" s="1"/>
  <c r="D522" i="1"/>
  <c r="F522" i="1" s="1"/>
  <c r="D521" i="1"/>
  <c r="F521" i="1" s="1"/>
  <c r="D520" i="1"/>
  <c r="F520" i="1" s="1"/>
  <c r="D519" i="1"/>
  <c r="F519" i="1" s="1"/>
  <c r="D518" i="1"/>
  <c r="F518" i="1" s="1"/>
  <c r="D517" i="1"/>
  <c r="F517" i="1" s="1"/>
  <c r="D516" i="1"/>
  <c r="F516" i="1" s="1"/>
  <c r="D515" i="1"/>
  <c r="F515" i="1" s="1"/>
  <c r="D514" i="1"/>
  <c r="F514" i="1" s="1"/>
  <c r="D513" i="1"/>
  <c r="F513" i="1" s="1"/>
  <c r="D512" i="1"/>
  <c r="F512" i="1" s="1"/>
  <c r="D511" i="1"/>
  <c r="F511" i="1" s="1"/>
  <c r="D510" i="1"/>
  <c r="F510" i="1" s="1"/>
  <c r="D509" i="1"/>
  <c r="F509" i="1" s="1"/>
  <c r="D508" i="1"/>
  <c r="F508" i="1" s="1"/>
  <c r="D507" i="1"/>
  <c r="F507" i="1" s="1"/>
  <c r="D506" i="1"/>
  <c r="F506" i="1" s="1"/>
  <c r="D505" i="1"/>
  <c r="F505" i="1" s="1"/>
  <c r="D504" i="1"/>
  <c r="F504" i="1" s="1"/>
  <c r="D503" i="1"/>
  <c r="F503" i="1" s="1"/>
  <c r="D502" i="1"/>
  <c r="F502" i="1" s="1"/>
  <c r="D501" i="1"/>
  <c r="F501" i="1" s="1"/>
  <c r="D500" i="1"/>
  <c r="F500" i="1" s="1"/>
  <c r="D499" i="1"/>
  <c r="F499" i="1" s="1"/>
  <c r="D498" i="1"/>
  <c r="F498" i="1" s="1"/>
  <c r="D497" i="1"/>
  <c r="F497" i="1" s="1"/>
  <c r="D496" i="1"/>
  <c r="F496" i="1" s="1"/>
  <c r="D495" i="1"/>
  <c r="F495" i="1" s="1"/>
  <c r="D494" i="1"/>
  <c r="F494" i="1" s="1"/>
  <c r="D493" i="1"/>
  <c r="F493" i="1" s="1"/>
  <c r="D492" i="1"/>
  <c r="F492" i="1" s="1"/>
  <c r="D491" i="1"/>
  <c r="F491" i="1" s="1"/>
  <c r="D490" i="1"/>
  <c r="F490" i="1" s="1"/>
  <c r="D489" i="1"/>
  <c r="F489" i="1" s="1"/>
  <c r="D488" i="1"/>
  <c r="F488" i="1" s="1"/>
  <c r="D487" i="1"/>
  <c r="F487" i="1" s="1"/>
  <c r="D486" i="1"/>
  <c r="F486" i="1" s="1"/>
  <c r="D485" i="1"/>
  <c r="F485" i="1" s="1"/>
  <c r="D484" i="1"/>
  <c r="F484" i="1" s="1"/>
  <c r="D483" i="1"/>
  <c r="F483" i="1" s="1"/>
  <c r="D482" i="1"/>
  <c r="F482" i="1" s="1"/>
  <c r="D481" i="1"/>
  <c r="F481" i="1" s="1"/>
  <c r="D480" i="1"/>
  <c r="F480" i="1" s="1"/>
  <c r="D479" i="1"/>
  <c r="F479" i="1" s="1"/>
  <c r="D478" i="1"/>
  <c r="F478" i="1" s="1"/>
  <c r="D477" i="1"/>
  <c r="F477" i="1" s="1"/>
  <c r="D476" i="1"/>
  <c r="F476" i="1" s="1"/>
  <c r="D475" i="1"/>
  <c r="F475" i="1" s="1"/>
  <c r="D474" i="1"/>
  <c r="F474" i="1" s="1"/>
  <c r="D473" i="1"/>
  <c r="F473" i="1" s="1"/>
  <c r="D472" i="1"/>
  <c r="F472" i="1" s="1"/>
  <c r="D471" i="1"/>
  <c r="F471" i="1" s="1"/>
  <c r="D470" i="1"/>
  <c r="F470" i="1" s="1"/>
  <c r="D469" i="1"/>
  <c r="F469" i="1" s="1"/>
  <c r="D468" i="1"/>
  <c r="F468" i="1" s="1"/>
  <c r="D467" i="1"/>
  <c r="F467" i="1" s="1"/>
  <c r="D466" i="1"/>
  <c r="F466" i="1" s="1"/>
  <c r="D465" i="1"/>
  <c r="F465" i="1" s="1"/>
  <c r="D464" i="1"/>
  <c r="F464" i="1" s="1"/>
  <c r="D463" i="1"/>
  <c r="F463" i="1" s="1"/>
  <c r="D462" i="1"/>
  <c r="F462" i="1" s="1"/>
  <c r="D461" i="1"/>
  <c r="F461" i="1" s="1"/>
  <c r="D460" i="1"/>
  <c r="F460" i="1" s="1"/>
  <c r="D459" i="1"/>
  <c r="F459" i="1" s="1"/>
  <c r="D458" i="1"/>
  <c r="F458" i="1" s="1"/>
  <c r="D457" i="1"/>
  <c r="F457" i="1" s="1"/>
  <c r="D456" i="1"/>
  <c r="F456" i="1" s="1"/>
  <c r="D455" i="1"/>
  <c r="F455" i="1" s="1"/>
  <c r="D454" i="1"/>
  <c r="F454" i="1" s="1"/>
  <c r="D453" i="1"/>
  <c r="F453" i="1" s="1"/>
  <c r="D452" i="1"/>
  <c r="F452" i="1" s="1"/>
  <c r="D451" i="1"/>
  <c r="F451" i="1" s="1"/>
  <c r="D450" i="1"/>
  <c r="F450" i="1" s="1"/>
  <c r="D449" i="1"/>
  <c r="F449" i="1" s="1"/>
  <c r="D448" i="1"/>
  <c r="F448" i="1" s="1"/>
  <c r="D447" i="1"/>
  <c r="F447" i="1" s="1"/>
  <c r="D446" i="1"/>
  <c r="F446" i="1" s="1"/>
  <c r="D445" i="1"/>
  <c r="F445" i="1" s="1"/>
  <c r="D444" i="1"/>
  <c r="F444" i="1" s="1"/>
  <c r="D443" i="1"/>
  <c r="F443" i="1" s="1"/>
  <c r="D442" i="1"/>
  <c r="F442" i="1" s="1"/>
  <c r="D441" i="1"/>
  <c r="F441" i="1" s="1"/>
  <c r="D440" i="1"/>
  <c r="F440" i="1" s="1"/>
  <c r="D439" i="1"/>
  <c r="F439" i="1" s="1"/>
  <c r="D438" i="1"/>
  <c r="F438" i="1" s="1"/>
  <c r="D437" i="1"/>
  <c r="F437" i="1" s="1"/>
  <c r="D436" i="1"/>
  <c r="F436" i="1" s="1"/>
  <c r="D435" i="1"/>
  <c r="F435" i="1" s="1"/>
  <c r="D434" i="1"/>
  <c r="F434" i="1" s="1"/>
  <c r="D433" i="1"/>
  <c r="F433" i="1" s="1"/>
  <c r="D432" i="1"/>
  <c r="F432" i="1" s="1"/>
  <c r="D431" i="1"/>
  <c r="F431" i="1" s="1"/>
  <c r="D430" i="1"/>
  <c r="F430" i="1" s="1"/>
  <c r="D429" i="1"/>
  <c r="F429" i="1" s="1"/>
  <c r="D428" i="1"/>
  <c r="F428" i="1" s="1"/>
  <c r="D427" i="1"/>
  <c r="F427" i="1" s="1"/>
  <c r="D426" i="1"/>
  <c r="F426" i="1" s="1"/>
  <c r="D425" i="1"/>
  <c r="F425" i="1" s="1"/>
  <c r="D424" i="1"/>
  <c r="F424" i="1" s="1"/>
  <c r="D423" i="1"/>
  <c r="F423" i="1" s="1"/>
  <c r="D422" i="1"/>
  <c r="F422" i="1" s="1"/>
  <c r="D421" i="1"/>
  <c r="F421" i="1" s="1"/>
  <c r="D420" i="1"/>
  <c r="F420" i="1" s="1"/>
  <c r="D419" i="1"/>
  <c r="F419" i="1" s="1"/>
  <c r="D418" i="1"/>
  <c r="F418" i="1" s="1"/>
  <c r="D417" i="1"/>
  <c r="F417" i="1" s="1"/>
  <c r="D416" i="1"/>
  <c r="F416" i="1" s="1"/>
  <c r="D415" i="1"/>
  <c r="F415" i="1" s="1"/>
  <c r="D414" i="1"/>
  <c r="F414" i="1" s="1"/>
  <c r="D413" i="1"/>
  <c r="F413" i="1" s="1"/>
  <c r="D412" i="1"/>
  <c r="F412" i="1" s="1"/>
  <c r="D411" i="1"/>
  <c r="F411" i="1" s="1"/>
  <c r="D410" i="1"/>
  <c r="F410" i="1" s="1"/>
  <c r="D409" i="1"/>
  <c r="F409" i="1" s="1"/>
  <c r="D408" i="1"/>
  <c r="F408" i="1" s="1"/>
  <c r="D407" i="1"/>
  <c r="F407" i="1" s="1"/>
  <c r="D406" i="1"/>
  <c r="F406" i="1" s="1"/>
  <c r="D405" i="1"/>
  <c r="F405" i="1" s="1"/>
  <c r="D404" i="1"/>
  <c r="F404" i="1" s="1"/>
  <c r="D403" i="1"/>
  <c r="F403" i="1" s="1"/>
  <c r="D402" i="1"/>
  <c r="F402" i="1" s="1"/>
  <c r="D401" i="1"/>
  <c r="F401" i="1" s="1"/>
  <c r="D400" i="1"/>
  <c r="F400" i="1" s="1"/>
  <c r="D399" i="1"/>
  <c r="F399" i="1" s="1"/>
  <c r="D398" i="1"/>
  <c r="F398" i="1" s="1"/>
  <c r="D397" i="1"/>
  <c r="F397" i="1" s="1"/>
  <c r="D396" i="1"/>
  <c r="F396" i="1" s="1"/>
  <c r="D395" i="1"/>
  <c r="F395" i="1" s="1"/>
  <c r="D394" i="1"/>
  <c r="F394" i="1" s="1"/>
  <c r="D393" i="1"/>
  <c r="F393" i="1" s="1"/>
  <c r="D392" i="1"/>
  <c r="F392" i="1" s="1"/>
  <c r="D391" i="1"/>
  <c r="F391" i="1" s="1"/>
  <c r="D390" i="1"/>
  <c r="F390" i="1" s="1"/>
  <c r="D389" i="1"/>
  <c r="F389" i="1" s="1"/>
  <c r="D388" i="1"/>
  <c r="F388" i="1" s="1"/>
  <c r="D387" i="1"/>
  <c r="F387" i="1" s="1"/>
  <c r="D386" i="1"/>
  <c r="F386" i="1" s="1"/>
  <c r="D385" i="1"/>
  <c r="F385" i="1" s="1"/>
  <c r="D384" i="1"/>
  <c r="F384" i="1" s="1"/>
  <c r="D383" i="1"/>
  <c r="F383" i="1" s="1"/>
  <c r="D382" i="1"/>
  <c r="F382" i="1" s="1"/>
  <c r="D381" i="1"/>
  <c r="F381" i="1" s="1"/>
  <c r="D380" i="1"/>
  <c r="F380" i="1" s="1"/>
  <c r="D379" i="1"/>
  <c r="F379" i="1" s="1"/>
  <c r="D378" i="1"/>
  <c r="F378" i="1" s="1"/>
  <c r="D377" i="1"/>
  <c r="F377" i="1" s="1"/>
  <c r="D376" i="1"/>
  <c r="F376" i="1" s="1"/>
  <c r="D375" i="1"/>
  <c r="F375" i="1" s="1"/>
  <c r="D374" i="1"/>
  <c r="F374" i="1" s="1"/>
  <c r="D373" i="1"/>
  <c r="F373" i="1" s="1"/>
  <c r="D372" i="1"/>
  <c r="F372" i="1" s="1"/>
  <c r="D371" i="1"/>
  <c r="F371" i="1" s="1"/>
  <c r="D370" i="1"/>
  <c r="F370" i="1" s="1"/>
  <c r="D369" i="1"/>
  <c r="F369" i="1" s="1"/>
  <c r="D368" i="1"/>
  <c r="F368" i="1" s="1"/>
  <c r="D367" i="1"/>
  <c r="F367" i="1" s="1"/>
  <c r="D366" i="1"/>
  <c r="F366" i="1" s="1"/>
  <c r="D365" i="1"/>
  <c r="F365" i="1" s="1"/>
  <c r="D364" i="1"/>
  <c r="F364" i="1" s="1"/>
  <c r="D363" i="1"/>
  <c r="F363" i="1" s="1"/>
  <c r="D362" i="1"/>
  <c r="F362" i="1" s="1"/>
  <c r="D361" i="1"/>
  <c r="F361" i="1" s="1"/>
  <c r="D360" i="1"/>
  <c r="F360" i="1" s="1"/>
  <c r="D359" i="1"/>
  <c r="F359" i="1" s="1"/>
  <c r="D358" i="1"/>
  <c r="F358" i="1" s="1"/>
  <c r="D357" i="1"/>
  <c r="F357" i="1" s="1"/>
  <c r="D356" i="1"/>
  <c r="F356" i="1" s="1"/>
  <c r="D355" i="1"/>
  <c r="F355" i="1" s="1"/>
  <c r="D354" i="1"/>
  <c r="F354" i="1" s="1"/>
  <c r="D353" i="1"/>
  <c r="F353" i="1" s="1"/>
  <c r="D352" i="1"/>
  <c r="F352" i="1" s="1"/>
  <c r="D351" i="1"/>
  <c r="F351" i="1" s="1"/>
  <c r="D350" i="1"/>
  <c r="F350" i="1" s="1"/>
  <c r="D349" i="1"/>
  <c r="F349" i="1" s="1"/>
  <c r="D348" i="1"/>
  <c r="F348" i="1" s="1"/>
  <c r="D347" i="1"/>
  <c r="F347" i="1" s="1"/>
  <c r="D346" i="1"/>
  <c r="F346" i="1" s="1"/>
  <c r="D345" i="1"/>
  <c r="F345" i="1" s="1"/>
  <c r="D344" i="1"/>
  <c r="F344" i="1" s="1"/>
  <c r="D343" i="1"/>
  <c r="F343" i="1" s="1"/>
  <c r="D342" i="1"/>
  <c r="F342" i="1" s="1"/>
  <c r="D341" i="1"/>
  <c r="F341" i="1" s="1"/>
  <c r="D340" i="1"/>
  <c r="F340" i="1" s="1"/>
  <c r="D339" i="1"/>
  <c r="F339" i="1" s="1"/>
  <c r="D338" i="1"/>
  <c r="F338" i="1" s="1"/>
  <c r="D337" i="1"/>
  <c r="F337" i="1" s="1"/>
  <c r="D336" i="1"/>
  <c r="F336" i="1" s="1"/>
  <c r="D335" i="1"/>
  <c r="F335" i="1" s="1"/>
  <c r="D334" i="1"/>
  <c r="F334" i="1" s="1"/>
  <c r="D333" i="1"/>
  <c r="F333" i="1" s="1"/>
  <c r="D332" i="1"/>
  <c r="F332" i="1" s="1"/>
  <c r="D331" i="1"/>
  <c r="F331" i="1" s="1"/>
  <c r="D330" i="1"/>
  <c r="F330" i="1" s="1"/>
  <c r="D329" i="1"/>
  <c r="F329" i="1" s="1"/>
  <c r="D328" i="1"/>
  <c r="F328" i="1" s="1"/>
  <c r="D327" i="1"/>
  <c r="F327" i="1" s="1"/>
  <c r="D326" i="1"/>
  <c r="F326" i="1" s="1"/>
  <c r="D325" i="1"/>
  <c r="F325" i="1" s="1"/>
  <c r="D324" i="1"/>
  <c r="F324" i="1" s="1"/>
  <c r="D323" i="1"/>
  <c r="F323" i="1" s="1"/>
  <c r="D322" i="1"/>
  <c r="F322" i="1" s="1"/>
  <c r="D321" i="1"/>
  <c r="F321" i="1" s="1"/>
  <c r="D320" i="1"/>
  <c r="F320" i="1" s="1"/>
  <c r="D319" i="1"/>
  <c r="F319" i="1" s="1"/>
  <c r="D318" i="1"/>
  <c r="F318" i="1" s="1"/>
  <c r="D317" i="1"/>
  <c r="F317" i="1" s="1"/>
  <c r="D316" i="1"/>
  <c r="F316" i="1" s="1"/>
  <c r="D315" i="1"/>
  <c r="F315" i="1" s="1"/>
  <c r="D314" i="1"/>
  <c r="F314" i="1" s="1"/>
  <c r="D313" i="1"/>
  <c r="F313" i="1" s="1"/>
  <c r="D312" i="1"/>
  <c r="F312" i="1" s="1"/>
  <c r="D311" i="1"/>
  <c r="F311" i="1" s="1"/>
  <c r="D310" i="1"/>
  <c r="F310" i="1" s="1"/>
  <c r="D309" i="1"/>
  <c r="F309" i="1" s="1"/>
  <c r="D308" i="1"/>
  <c r="F308" i="1" s="1"/>
  <c r="D307" i="1"/>
  <c r="F307" i="1" s="1"/>
  <c r="D306" i="1"/>
  <c r="F306" i="1" s="1"/>
  <c r="D305" i="1"/>
  <c r="F305" i="1" s="1"/>
  <c r="D304" i="1"/>
  <c r="F304" i="1" s="1"/>
  <c r="D303" i="1"/>
  <c r="F303" i="1" s="1"/>
  <c r="D302" i="1"/>
  <c r="F302" i="1" s="1"/>
  <c r="D301" i="1"/>
  <c r="F301" i="1" s="1"/>
  <c r="D300" i="1"/>
  <c r="F300" i="1" s="1"/>
  <c r="D299" i="1"/>
  <c r="F299" i="1" s="1"/>
  <c r="D298" i="1"/>
  <c r="F298" i="1" s="1"/>
  <c r="D297" i="1"/>
  <c r="F297" i="1" s="1"/>
  <c r="D296" i="1"/>
  <c r="F296" i="1" s="1"/>
  <c r="D295" i="1"/>
  <c r="F295" i="1" s="1"/>
  <c r="D294" i="1"/>
  <c r="F294" i="1" s="1"/>
  <c r="D293" i="1"/>
  <c r="F293" i="1" s="1"/>
  <c r="D292" i="1"/>
  <c r="F292" i="1" s="1"/>
  <c r="D291" i="1"/>
  <c r="F291" i="1" s="1"/>
  <c r="D290" i="1"/>
  <c r="F290" i="1" s="1"/>
  <c r="D289" i="1"/>
  <c r="F289" i="1" s="1"/>
  <c r="D288" i="1"/>
  <c r="F288" i="1" s="1"/>
  <c r="D287" i="1"/>
  <c r="F287" i="1" s="1"/>
  <c r="D286" i="1"/>
  <c r="F286" i="1" s="1"/>
  <c r="D285" i="1"/>
  <c r="F285" i="1" s="1"/>
  <c r="D284" i="1"/>
  <c r="F284" i="1" s="1"/>
  <c r="D283" i="1"/>
  <c r="F283" i="1" s="1"/>
  <c r="D282" i="1"/>
  <c r="F282" i="1" s="1"/>
  <c r="D281" i="1"/>
  <c r="F281" i="1" s="1"/>
  <c r="D280" i="1"/>
  <c r="F280" i="1" s="1"/>
  <c r="D279" i="1"/>
  <c r="F279" i="1" s="1"/>
  <c r="D278" i="1"/>
  <c r="F278" i="1" s="1"/>
  <c r="D277" i="1"/>
  <c r="F277" i="1" s="1"/>
  <c r="D276" i="1"/>
  <c r="F276" i="1" s="1"/>
  <c r="D275" i="1"/>
  <c r="F275" i="1" s="1"/>
  <c r="D274" i="1"/>
  <c r="F274" i="1" s="1"/>
  <c r="D273" i="1"/>
  <c r="F273" i="1" s="1"/>
  <c r="D272" i="1"/>
  <c r="F272" i="1" s="1"/>
  <c r="D271" i="1"/>
  <c r="F271" i="1" s="1"/>
  <c r="D270" i="1"/>
  <c r="F270" i="1" s="1"/>
  <c r="D269" i="1"/>
  <c r="F269" i="1" s="1"/>
  <c r="D268" i="1"/>
  <c r="F268" i="1" s="1"/>
  <c r="D267" i="1"/>
  <c r="F267" i="1" s="1"/>
  <c r="D266" i="1"/>
  <c r="F266" i="1" s="1"/>
  <c r="D265" i="1"/>
  <c r="F265" i="1" s="1"/>
  <c r="D264" i="1"/>
  <c r="F264" i="1" s="1"/>
  <c r="D263" i="1"/>
  <c r="F263" i="1" s="1"/>
  <c r="D262" i="1"/>
  <c r="F262" i="1" s="1"/>
  <c r="D261" i="1"/>
  <c r="F261" i="1" s="1"/>
  <c r="D260" i="1"/>
  <c r="F260" i="1" s="1"/>
  <c r="D259" i="1"/>
  <c r="F259" i="1" s="1"/>
  <c r="D258" i="1"/>
  <c r="F258" i="1" s="1"/>
  <c r="D257" i="1"/>
  <c r="F257" i="1" s="1"/>
  <c r="D256" i="1"/>
  <c r="F256" i="1" s="1"/>
  <c r="D255" i="1"/>
  <c r="F255" i="1" s="1"/>
  <c r="D254" i="1"/>
  <c r="F254" i="1" s="1"/>
  <c r="D253" i="1"/>
  <c r="F253" i="1" s="1"/>
  <c r="D252" i="1"/>
  <c r="F252" i="1" s="1"/>
  <c r="D251" i="1"/>
  <c r="F251" i="1" s="1"/>
  <c r="D250" i="1"/>
  <c r="F250" i="1" s="1"/>
  <c r="D249" i="1"/>
  <c r="F249" i="1" s="1"/>
  <c r="D248" i="1"/>
  <c r="F248" i="1" s="1"/>
  <c r="D247" i="1"/>
  <c r="F247" i="1" s="1"/>
  <c r="D246" i="1"/>
  <c r="F246" i="1" s="1"/>
  <c r="D245" i="1"/>
  <c r="F245" i="1" s="1"/>
  <c r="D244" i="1"/>
  <c r="F244" i="1" s="1"/>
  <c r="D243" i="1"/>
  <c r="F243" i="1" s="1"/>
  <c r="D242" i="1"/>
  <c r="F242" i="1" s="1"/>
  <c r="D241" i="1"/>
  <c r="F241" i="1" s="1"/>
  <c r="D240" i="1"/>
  <c r="F240" i="1" s="1"/>
  <c r="D239" i="1"/>
  <c r="F239" i="1" s="1"/>
  <c r="D238" i="1"/>
  <c r="F238" i="1" s="1"/>
  <c r="D237" i="1"/>
  <c r="F237" i="1" s="1"/>
  <c r="D236" i="1"/>
  <c r="F236" i="1" s="1"/>
  <c r="D235" i="1"/>
  <c r="F235" i="1" s="1"/>
  <c r="D234" i="1"/>
  <c r="F234" i="1" s="1"/>
  <c r="D233" i="1"/>
  <c r="F233" i="1" s="1"/>
  <c r="D232" i="1"/>
  <c r="F232" i="1" s="1"/>
  <c r="D231" i="1"/>
  <c r="F231" i="1" s="1"/>
  <c r="D230" i="1"/>
  <c r="F230" i="1" s="1"/>
  <c r="D229" i="1"/>
  <c r="F229" i="1" s="1"/>
  <c r="D228" i="1"/>
  <c r="F228" i="1" s="1"/>
  <c r="D227" i="1"/>
  <c r="F227" i="1" s="1"/>
  <c r="D226" i="1"/>
  <c r="F226" i="1" s="1"/>
  <c r="D225" i="1"/>
  <c r="F225" i="1" s="1"/>
  <c r="D224" i="1"/>
  <c r="F224" i="1" s="1"/>
  <c r="D223" i="1"/>
  <c r="F223" i="1" s="1"/>
  <c r="D222" i="1"/>
  <c r="F222" i="1" s="1"/>
  <c r="D221" i="1"/>
  <c r="F221" i="1" s="1"/>
  <c r="D220" i="1"/>
  <c r="F220" i="1" s="1"/>
  <c r="D219" i="1"/>
  <c r="F219" i="1" s="1"/>
  <c r="D218" i="1"/>
  <c r="F218" i="1" s="1"/>
  <c r="D217" i="1"/>
  <c r="F217" i="1" s="1"/>
  <c r="D216" i="1"/>
  <c r="F216" i="1" s="1"/>
  <c r="D215" i="1"/>
  <c r="F215" i="1" s="1"/>
  <c r="D214" i="1"/>
  <c r="F214" i="1" s="1"/>
  <c r="D213" i="1"/>
  <c r="F213" i="1" s="1"/>
  <c r="D212" i="1"/>
  <c r="F212" i="1" s="1"/>
  <c r="D211" i="1"/>
  <c r="F211" i="1" s="1"/>
  <c r="D210" i="1"/>
  <c r="F210" i="1" s="1"/>
  <c r="D209" i="1"/>
  <c r="F209" i="1" s="1"/>
  <c r="D208" i="1"/>
  <c r="F208" i="1" s="1"/>
  <c r="D207" i="1"/>
  <c r="F207" i="1" s="1"/>
  <c r="D206" i="1"/>
  <c r="F206" i="1" s="1"/>
  <c r="D205" i="1"/>
  <c r="F205" i="1" s="1"/>
  <c r="D204" i="1"/>
  <c r="F204" i="1" s="1"/>
  <c r="D203" i="1"/>
  <c r="F203" i="1" s="1"/>
  <c r="D202" i="1"/>
  <c r="F202" i="1" s="1"/>
  <c r="D201" i="1"/>
  <c r="F201" i="1" s="1"/>
  <c r="D200" i="1"/>
  <c r="F200" i="1" s="1"/>
  <c r="D199" i="1"/>
  <c r="F199" i="1" s="1"/>
  <c r="D198" i="1"/>
  <c r="F198" i="1" s="1"/>
  <c r="D197" i="1"/>
  <c r="F197" i="1" s="1"/>
  <c r="D196" i="1"/>
  <c r="F196" i="1" s="1"/>
  <c r="D195" i="1"/>
  <c r="F195" i="1" s="1"/>
  <c r="D194" i="1"/>
  <c r="F194" i="1" s="1"/>
  <c r="D193" i="1"/>
  <c r="F193" i="1" s="1"/>
  <c r="D192" i="1"/>
  <c r="F192" i="1" s="1"/>
  <c r="D191" i="1"/>
  <c r="F191" i="1" s="1"/>
  <c r="D190" i="1"/>
  <c r="F190" i="1" s="1"/>
  <c r="D189" i="1"/>
  <c r="F189" i="1" s="1"/>
  <c r="D188" i="1"/>
  <c r="F188" i="1" s="1"/>
  <c r="D187" i="1"/>
  <c r="F187" i="1" s="1"/>
  <c r="D186" i="1"/>
  <c r="F186" i="1" s="1"/>
  <c r="D185" i="1"/>
  <c r="F185" i="1" s="1"/>
  <c r="D184" i="1"/>
  <c r="F184" i="1" s="1"/>
  <c r="D183" i="1"/>
  <c r="F183" i="1" s="1"/>
  <c r="D182" i="1"/>
  <c r="F182" i="1" s="1"/>
  <c r="D181" i="1"/>
  <c r="F181" i="1" s="1"/>
  <c r="D180" i="1"/>
  <c r="F180" i="1" s="1"/>
  <c r="D179" i="1"/>
  <c r="F179" i="1" s="1"/>
  <c r="D178" i="1"/>
  <c r="F178" i="1" s="1"/>
  <c r="D177" i="1"/>
  <c r="F177" i="1" s="1"/>
  <c r="D176" i="1"/>
  <c r="F176" i="1" s="1"/>
  <c r="D175" i="1"/>
  <c r="F175" i="1" s="1"/>
  <c r="D174" i="1"/>
  <c r="F174" i="1" s="1"/>
  <c r="D173" i="1"/>
  <c r="F173" i="1" s="1"/>
  <c r="D172" i="1"/>
  <c r="F172" i="1" s="1"/>
  <c r="D171" i="1"/>
  <c r="F171" i="1" s="1"/>
  <c r="D170" i="1"/>
  <c r="F170" i="1" s="1"/>
  <c r="D169" i="1"/>
  <c r="F169" i="1" s="1"/>
  <c r="D168" i="1"/>
  <c r="F168" i="1" s="1"/>
  <c r="D167" i="1"/>
  <c r="F167" i="1" s="1"/>
  <c r="D166" i="1"/>
  <c r="F166" i="1" s="1"/>
  <c r="D165" i="1"/>
  <c r="F165" i="1" s="1"/>
  <c r="D164" i="1"/>
  <c r="F164" i="1" s="1"/>
  <c r="D163" i="1"/>
  <c r="F163" i="1" s="1"/>
  <c r="D162" i="1"/>
  <c r="F162" i="1" s="1"/>
  <c r="D161" i="1"/>
  <c r="F161" i="1" s="1"/>
  <c r="D160" i="1"/>
  <c r="F160" i="1" s="1"/>
  <c r="D159" i="1"/>
  <c r="F159" i="1" s="1"/>
  <c r="D158" i="1"/>
  <c r="F158" i="1" s="1"/>
  <c r="D157" i="1"/>
  <c r="F157" i="1" s="1"/>
  <c r="D156" i="1"/>
  <c r="F156" i="1" s="1"/>
  <c r="D155" i="1"/>
  <c r="F155" i="1" s="1"/>
  <c r="D154" i="1"/>
  <c r="F154" i="1" s="1"/>
  <c r="D153" i="1"/>
  <c r="F153" i="1" s="1"/>
  <c r="D152" i="1"/>
  <c r="F152" i="1" s="1"/>
  <c r="D151" i="1"/>
  <c r="F151" i="1" s="1"/>
  <c r="D150" i="1"/>
  <c r="F150" i="1" s="1"/>
  <c r="D149" i="1"/>
  <c r="F149" i="1" s="1"/>
  <c r="D148" i="1"/>
  <c r="F148" i="1" s="1"/>
  <c r="D147" i="1"/>
  <c r="F147" i="1" s="1"/>
  <c r="D146" i="1"/>
  <c r="F146" i="1" s="1"/>
  <c r="D145" i="1"/>
  <c r="F145" i="1" s="1"/>
  <c r="D144" i="1"/>
  <c r="F144" i="1" s="1"/>
  <c r="D143" i="1"/>
  <c r="F143" i="1" s="1"/>
  <c r="D142" i="1"/>
  <c r="F142" i="1" s="1"/>
  <c r="D141" i="1"/>
  <c r="F141" i="1" s="1"/>
  <c r="D140" i="1"/>
  <c r="F140" i="1" s="1"/>
  <c r="D139" i="1"/>
  <c r="F139" i="1" s="1"/>
  <c r="D138" i="1"/>
  <c r="F138" i="1" s="1"/>
  <c r="D137" i="1"/>
  <c r="F137" i="1" s="1"/>
  <c r="D136" i="1"/>
  <c r="F136" i="1" s="1"/>
  <c r="D135" i="1"/>
  <c r="F135" i="1" s="1"/>
  <c r="D134" i="1"/>
  <c r="F134" i="1" s="1"/>
  <c r="D133" i="1"/>
  <c r="F133" i="1" s="1"/>
  <c r="D132" i="1"/>
  <c r="F132" i="1" s="1"/>
  <c r="D131" i="1"/>
  <c r="F131" i="1" s="1"/>
  <c r="D130" i="1"/>
  <c r="F130" i="1" s="1"/>
  <c r="D129" i="1"/>
  <c r="F129" i="1" s="1"/>
  <c r="D128" i="1"/>
  <c r="F128" i="1" s="1"/>
  <c r="D127" i="1"/>
  <c r="F127" i="1" s="1"/>
  <c r="D126" i="1"/>
  <c r="F126" i="1" s="1"/>
  <c r="D125" i="1"/>
  <c r="F125" i="1" s="1"/>
  <c r="D124" i="1"/>
  <c r="F124" i="1" s="1"/>
  <c r="D123" i="1"/>
  <c r="F123" i="1" s="1"/>
  <c r="D122" i="1"/>
  <c r="F122" i="1" s="1"/>
  <c r="D121" i="1"/>
  <c r="F121" i="1" s="1"/>
  <c r="D120" i="1"/>
  <c r="F120" i="1" s="1"/>
  <c r="D119" i="1"/>
  <c r="F119" i="1" s="1"/>
  <c r="D118" i="1"/>
  <c r="F118" i="1" s="1"/>
  <c r="D117" i="1"/>
  <c r="F117" i="1" s="1"/>
  <c r="D116" i="1"/>
  <c r="F116" i="1" s="1"/>
  <c r="D115" i="1"/>
  <c r="F115" i="1" s="1"/>
  <c r="D114" i="1"/>
  <c r="F114" i="1" s="1"/>
  <c r="D113" i="1"/>
  <c r="F113" i="1" s="1"/>
  <c r="D112" i="1"/>
  <c r="F112" i="1" s="1"/>
  <c r="D111" i="1"/>
  <c r="F111" i="1" s="1"/>
  <c r="D110" i="1"/>
  <c r="F110" i="1" s="1"/>
  <c r="D109" i="1"/>
  <c r="F109" i="1" s="1"/>
  <c r="D108" i="1"/>
  <c r="F108" i="1" s="1"/>
  <c r="D107" i="1"/>
  <c r="F107" i="1" s="1"/>
  <c r="D106" i="1"/>
  <c r="F106" i="1" s="1"/>
  <c r="D105" i="1"/>
  <c r="F105" i="1" s="1"/>
  <c r="D104" i="1"/>
  <c r="F104" i="1" s="1"/>
  <c r="D103" i="1"/>
  <c r="F103" i="1" s="1"/>
  <c r="D102" i="1"/>
  <c r="F102" i="1" s="1"/>
  <c r="D101" i="1"/>
  <c r="F101" i="1" s="1"/>
  <c r="D100" i="1"/>
  <c r="F100" i="1" s="1"/>
  <c r="D99" i="1"/>
  <c r="F99" i="1" s="1"/>
  <c r="D98" i="1"/>
  <c r="F98" i="1" s="1"/>
  <c r="D97" i="1"/>
  <c r="F97" i="1" s="1"/>
  <c r="D96" i="1"/>
  <c r="F96" i="1" s="1"/>
  <c r="D95" i="1"/>
  <c r="F95" i="1" s="1"/>
  <c r="D94" i="1"/>
  <c r="F94" i="1" s="1"/>
  <c r="D93" i="1"/>
  <c r="F93" i="1" s="1"/>
  <c r="D92" i="1"/>
  <c r="F92" i="1" s="1"/>
  <c r="D91" i="1"/>
  <c r="F91" i="1" s="1"/>
  <c r="D90" i="1"/>
  <c r="F90" i="1" s="1"/>
  <c r="D89" i="1"/>
  <c r="F89" i="1" s="1"/>
  <c r="D88" i="1"/>
  <c r="F88" i="1" s="1"/>
  <c r="D87" i="1"/>
  <c r="F87" i="1" s="1"/>
  <c r="D86" i="1"/>
  <c r="F86" i="1" s="1"/>
  <c r="D85" i="1"/>
  <c r="F85" i="1" s="1"/>
  <c r="D84" i="1"/>
  <c r="F84" i="1" s="1"/>
  <c r="D83" i="1"/>
  <c r="F83" i="1" s="1"/>
  <c r="D82" i="1"/>
  <c r="F82" i="1" s="1"/>
  <c r="D81" i="1"/>
  <c r="F81" i="1" s="1"/>
  <c r="D80" i="1"/>
  <c r="F80" i="1" s="1"/>
  <c r="D79" i="1"/>
  <c r="F79" i="1" s="1"/>
  <c r="D78" i="1"/>
  <c r="F78" i="1" s="1"/>
  <c r="D77" i="1"/>
  <c r="F77" i="1" s="1"/>
  <c r="D76" i="1"/>
  <c r="F76" i="1" s="1"/>
  <c r="D75" i="1"/>
  <c r="F75" i="1" s="1"/>
  <c r="D74" i="1"/>
  <c r="F74" i="1" s="1"/>
  <c r="D73" i="1"/>
  <c r="F73" i="1" s="1"/>
  <c r="D72" i="1"/>
  <c r="F72" i="1" s="1"/>
  <c r="D71" i="1"/>
  <c r="F71" i="1" s="1"/>
  <c r="D70" i="1"/>
  <c r="F70" i="1" s="1"/>
  <c r="D69" i="1"/>
  <c r="F69" i="1" s="1"/>
  <c r="D68" i="1"/>
  <c r="F68" i="1" s="1"/>
  <c r="D67" i="1"/>
  <c r="F67" i="1" s="1"/>
  <c r="D66" i="1"/>
  <c r="F66" i="1" s="1"/>
  <c r="D65" i="1"/>
  <c r="F65" i="1" s="1"/>
  <c r="D64" i="1"/>
  <c r="F64" i="1" s="1"/>
  <c r="D63" i="1"/>
  <c r="F63" i="1" s="1"/>
  <c r="D62" i="1"/>
  <c r="F62" i="1" s="1"/>
  <c r="D61" i="1"/>
  <c r="F61" i="1" s="1"/>
  <c r="D60" i="1"/>
  <c r="F60" i="1" s="1"/>
  <c r="D59" i="1"/>
  <c r="F59" i="1" s="1"/>
  <c r="D58" i="1"/>
  <c r="F58" i="1" s="1"/>
  <c r="D57" i="1"/>
  <c r="F57" i="1" s="1"/>
  <c r="D56" i="1"/>
  <c r="F56" i="1" s="1"/>
  <c r="D55" i="1"/>
  <c r="F55" i="1" s="1"/>
  <c r="D54" i="1"/>
  <c r="F54" i="1" s="1"/>
  <c r="D53" i="1"/>
  <c r="F53" i="1" s="1"/>
  <c r="D52" i="1"/>
  <c r="F52" i="1" s="1"/>
  <c r="D51" i="1"/>
  <c r="F51" i="1" s="1"/>
  <c r="D50" i="1"/>
  <c r="F50" i="1" s="1"/>
  <c r="D49" i="1"/>
  <c r="F49" i="1" s="1"/>
  <c r="D48" i="1"/>
  <c r="F48" i="1" s="1"/>
  <c r="D47" i="1"/>
  <c r="F47" i="1" s="1"/>
  <c r="D46" i="1"/>
  <c r="F46" i="1" s="1"/>
  <c r="D45" i="1"/>
  <c r="F45" i="1" s="1"/>
  <c r="D44" i="1"/>
  <c r="F44" i="1" s="1"/>
  <c r="D43" i="1"/>
  <c r="F43" i="1" s="1"/>
  <c r="D42" i="1"/>
  <c r="F42" i="1" s="1"/>
  <c r="D41" i="1"/>
  <c r="F41" i="1" s="1"/>
  <c r="D40" i="1"/>
  <c r="F40" i="1" s="1"/>
  <c r="D39" i="1"/>
  <c r="F39" i="1" s="1"/>
  <c r="D38" i="1"/>
  <c r="F38" i="1" s="1"/>
  <c r="D37" i="1"/>
  <c r="F37" i="1" s="1"/>
  <c r="D36" i="1"/>
  <c r="F36" i="1" s="1"/>
  <c r="D35" i="1"/>
  <c r="F35" i="1" s="1"/>
  <c r="D34" i="1"/>
  <c r="F34" i="1" s="1"/>
  <c r="D33" i="1"/>
  <c r="F33" i="1" s="1"/>
  <c r="D32" i="1"/>
  <c r="F32" i="1" s="1"/>
  <c r="D31" i="1"/>
  <c r="F31" i="1" s="1"/>
  <c r="D30" i="1"/>
  <c r="F30" i="1" s="1"/>
  <c r="D29" i="1"/>
  <c r="F29" i="1" s="1"/>
  <c r="D28" i="1"/>
  <c r="F28" i="1" s="1"/>
  <c r="D27" i="1"/>
  <c r="F27" i="1" s="1"/>
  <c r="D26" i="1"/>
  <c r="F26" i="1" s="1"/>
  <c r="D25" i="1"/>
  <c r="F25" i="1" s="1"/>
  <c r="D24" i="1"/>
  <c r="F24" i="1" s="1"/>
  <c r="D23" i="1"/>
  <c r="F23" i="1" s="1"/>
  <c r="D22" i="1"/>
  <c r="F22" i="1" s="1"/>
  <c r="D21" i="1"/>
  <c r="F21" i="1" s="1"/>
  <c r="D20" i="1"/>
  <c r="F20" i="1" s="1"/>
  <c r="D19" i="1"/>
  <c r="F19" i="1" s="1"/>
  <c r="D18" i="1"/>
  <c r="F18" i="1" s="1"/>
  <c r="D17" i="1"/>
  <c r="F17" i="1" s="1"/>
  <c r="D16" i="1"/>
  <c r="F16" i="1" s="1"/>
  <c r="D15" i="1"/>
  <c r="F15" i="1" s="1"/>
  <c r="D14" i="1"/>
  <c r="F14" i="1" s="1"/>
  <c r="D13" i="1"/>
  <c r="F13" i="1" s="1"/>
  <c r="D12" i="1"/>
  <c r="F12" i="1" s="1"/>
  <c r="D11" i="1"/>
  <c r="F11" i="1" s="1"/>
  <c r="D10" i="1"/>
  <c r="F10" i="1" s="1"/>
  <c r="D9" i="1"/>
  <c r="F9" i="1" s="1"/>
  <c r="D8" i="1"/>
  <c r="F8" i="1" s="1"/>
  <c r="D7" i="1"/>
  <c r="F7" i="1" s="1"/>
  <c r="D6" i="1"/>
  <c r="F6" i="1" s="1"/>
  <c r="D5" i="1"/>
  <c r="F5" i="1" s="1"/>
  <c r="D4" i="1"/>
  <c r="F4" i="1" s="1"/>
  <c r="D3" i="1"/>
  <c r="F3" i="1" s="1"/>
  <c r="D2" i="1"/>
  <c r="F2" i="1" s="1"/>
  <c r="G2" i="1" l="1"/>
  <c r="G304" i="1"/>
  <c r="G528" i="1"/>
  <c r="G544" i="1"/>
  <c r="G72" i="1"/>
  <c r="G336" i="1"/>
  <c r="G560" i="1"/>
  <c r="G576" i="1"/>
  <c r="G96" i="1"/>
  <c r="G112" i="1"/>
  <c r="G136" i="1"/>
  <c r="G160" i="1"/>
  <c r="G176" i="1"/>
  <c r="G208" i="1"/>
  <c r="G248" i="1"/>
  <c r="G280" i="1"/>
  <c r="G376" i="1"/>
  <c r="G408" i="1"/>
  <c r="G432" i="1"/>
  <c r="G464" i="1"/>
  <c r="G504" i="1"/>
  <c r="G512" i="1"/>
  <c r="G600" i="1"/>
  <c r="G16" i="1"/>
  <c r="G17" i="1"/>
  <c r="G24" i="1"/>
  <c r="G32" i="1"/>
  <c r="G40" i="1"/>
  <c r="G41" i="1"/>
  <c r="G56" i="1"/>
  <c r="G57" i="1"/>
  <c r="G64" i="1"/>
  <c r="G65" i="1"/>
  <c r="G80" i="1"/>
  <c r="G81" i="1"/>
  <c r="G88" i="1"/>
  <c r="G104" i="1"/>
  <c r="G105" i="1"/>
  <c r="G120" i="1"/>
  <c r="G121" i="1"/>
  <c r="G128" i="1"/>
  <c r="G129" i="1"/>
  <c r="G144" i="1"/>
  <c r="G145" i="1"/>
  <c r="G152" i="1"/>
  <c r="G168" i="1"/>
  <c r="G169" i="1"/>
  <c r="G184" i="1"/>
  <c r="G192" i="1"/>
  <c r="G193" i="1"/>
  <c r="G200" i="1"/>
  <c r="G201" i="1"/>
  <c r="G216" i="1"/>
  <c r="G224" i="1"/>
  <c r="G225" i="1"/>
  <c r="G232" i="1"/>
  <c r="G233" i="1"/>
  <c r="G240" i="1"/>
  <c r="G256" i="1"/>
  <c r="G257" i="1"/>
  <c r="G264" i="1"/>
  <c r="G272" i="1"/>
  <c r="G288" i="1"/>
  <c r="G289" i="1"/>
  <c r="G296" i="1"/>
  <c r="G297" i="1"/>
  <c r="G312" i="1"/>
  <c r="G320" i="1"/>
  <c r="G321" i="1"/>
  <c r="G328" i="1"/>
  <c r="G329" i="1"/>
  <c r="G344" i="1"/>
  <c r="G352" i="1"/>
  <c r="G353" i="1"/>
  <c r="G360" i="1"/>
  <c r="G361" i="1"/>
  <c r="G368" i="1"/>
  <c r="G384" i="1"/>
  <c r="G385" i="1"/>
  <c r="G392" i="1"/>
  <c r="G393" i="1"/>
  <c r="G416" i="1"/>
  <c r="G417" i="1"/>
  <c r="G440" i="1"/>
  <c r="G448" i="1"/>
  <c r="G449" i="1"/>
  <c r="G472" i="1"/>
  <c r="G488" i="1"/>
  <c r="G489" i="1"/>
  <c r="G496" i="1"/>
  <c r="G520" i="1"/>
  <c r="G521" i="1"/>
  <c r="G536" i="1"/>
  <c r="G552" i="1"/>
  <c r="G553" i="1"/>
  <c r="G568" i="1"/>
  <c r="G584" i="1"/>
  <c r="G585" i="1"/>
  <c r="G592" i="1"/>
  <c r="G545" i="1"/>
  <c r="G505" i="1"/>
  <c r="G433" i="1"/>
  <c r="G377" i="1"/>
  <c r="G305" i="1"/>
  <c r="G249" i="1"/>
  <c r="G177" i="1"/>
  <c r="G529" i="1"/>
  <c r="G113" i="1"/>
  <c r="G569" i="1"/>
  <c r="G473" i="1"/>
  <c r="G345" i="1"/>
  <c r="G273" i="1"/>
  <c r="G217" i="1"/>
  <c r="G161" i="1"/>
  <c r="G97" i="1"/>
  <c r="G33" i="1"/>
  <c r="G3" i="1"/>
  <c r="G4" i="1"/>
  <c r="G11" i="1"/>
  <c r="G12" i="1"/>
  <c r="G19" i="1"/>
  <c r="G20" i="1"/>
  <c r="G27" i="1"/>
  <c r="G28" i="1"/>
  <c r="G35" i="1"/>
  <c r="G36" i="1"/>
  <c r="G43" i="1"/>
  <c r="G44" i="1"/>
  <c r="G51" i="1"/>
  <c r="G52" i="1"/>
  <c r="G59" i="1"/>
  <c r="G60" i="1"/>
  <c r="G67" i="1"/>
  <c r="G68" i="1"/>
  <c r="G75" i="1"/>
  <c r="G76" i="1"/>
  <c r="G83" i="1"/>
  <c r="G84" i="1"/>
  <c r="G91" i="1"/>
  <c r="G92" i="1"/>
  <c r="G99" i="1"/>
  <c r="G100" i="1"/>
  <c r="G107" i="1"/>
  <c r="G108" i="1"/>
  <c r="G115" i="1"/>
  <c r="G116" i="1"/>
  <c r="G123" i="1"/>
  <c r="G124" i="1"/>
  <c r="G131" i="1"/>
  <c r="G132" i="1"/>
  <c r="G139" i="1"/>
  <c r="G140" i="1"/>
  <c r="G147" i="1"/>
  <c r="G148" i="1"/>
  <c r="G155" i="1"/>
  <c r="G156" i="1"/>
  <c r="G163" i="1"/>
  <c r="G171" i="1"/>
  <c r="G172" i="1"/>
  <c r="G179" i="1"/>
  <c r="G187" i="1"/>
  <c r="G195" i="1"/>
  <c r="G203" i="1"/>
  <c r="G211" i="1"/>
  <c r="G219" i="1"/>
  <c r="G227" i="1"/>
  <c r="G235" i="1"/>
  <c r="G243" i="1"/>
  <c r="G251" i="1"/>
  <c r="G259" i="1"/>
  <c r="G267" i="1"/>
  <c r="G275" i="1"/>
  <c r="G283" i="1"/>
  <c r="G291" i="1"/>
  <c r="G299" i="1"/>
  <c r="G307" i="1"/>
  <c r="G315" i="1"/>
  <c r="G323" i="1"/>
  <c r="G339" i="1"/>
  <c r="G347" i="1"/>
  <c r="G355" i="1"/>
  <c r="G363" i="1"/>
  <c r="G371" i="1"/>
  <c r="G379" i="1"/>
  <c r="G387" i="1"/>
  <c r="G395" i="1"/>
  <c r="G403" i="1"/>
  <c r="G411" i="1"/>
  <c r="G419" i="1"/>
  <c r="G427" i="1"/>
  <c r="G435" i="1"/>
  <c r="G443" i="1"/>
  <c r="G459" i="1"/>
  <c r="G467" i="1"/>
  <c r="G483" i="1"/>
  <c r="G491" i="1"/>
  <c r="G499" i="1"/>
  <c r="G507" i="1"/>
  <c r="G515" i="1"/>
  <c r="G523" i="1"/>
  <c r="G539" i="1"/>
  <c r="G547" i="1"/>
  <c r="G555" i="1"/>
  <c r="G563" i="1"/>
  <c r="G571" i="1"/>
  <c r="G579" i="1"/>
  <c r="G587" i="1"/>
  <c r="G595" i="1"/>
  <c r="G588" i="1"/>
  <c r="G556" i="1"/>
  <c r="G524" i="1"/>
  <c r="G492" i="1"/>
  <c r="G460" i="1"/>
  <c r="G428" i="1"/>
  <c r="G396" i="1"/>
  <c r="G364" i="1"/>
  <c r="G300" i="1"/>
  <c r="G268" i="1"/>
  <c r="G236" i="1"/>
  <c r="G164" i="1"/>
  <c r="G188" i="1"/>
  <c r="G196" i="1"/>
  <c r="G204" i="1"/>
  <c r="G220" i="1"/>
  <c r="G228" i="1"/>
  <c r="G252" i="1"/>
  <c r="G260" i="1"/>
  <c r="G284" i="1"/>
  <c r="G292" i="1"/>
  <c r="G316" i="1"/>
  <c r="G324" i="1"/>
  <c r="G332" i="1"/>
  <c r="G348" i="1"/>
  <c r="G356" i="1"/>
  <c r="G380" i="1"/>
  <c r="G388" i="1"/>
  <c r="G412" i="1"/>
  <c r="G420" i="1"/>
  <c r="G444" i="1"/>
  <c r="G452" i="1"/>
  <c r="G476" i="1"/>
  <c r="G484" i="1"/>
  <c r="G508" i="1"/>
  <c r="G516" i="1"/>
  <c r="G532" i="1"/>
  <c r="G540" i="1"/>
  <c r="G548" i="1"/>
  <c r="G572" i="1"/>
  <c r="G580" i="1"/>
  <c r="G597" i="1"/>
  <c r="G565" i="1"/>
  <c r="G533" i="1"/>
  <c r="G501" i="1"/>
  <c r="G469" i="1"/>
  <c r="G437" i="1"/>
  <c r="G405" i="1"/>
  <c r="G373" i="1"/>
  <c r="G309" i="1"/>
  <c r="G277" i="1"/>
  <c r="G245" i="1"/>
  <c r="G181" i="1"/>
  <c r="G133" i="1"/>
  <c r="G69" i="1"/>
  <c r="G5" i="1"/>
  <c r="G596" i="1"/>
  <c r="G564" i="1"/>
  <c r="G500" i="1"/>
  <c r="G468" i="1"/>
  <c r="G436" i="1"/>
  <c r="G404" i="1"/>
  <c r="G372" i="1"/>
  <c r="G340" i="1"/>
  <c r="G308" i="1"/>
  <c r="G276" i="1"/>
  <c r="G244" i="1"/>
  <c r="G212" i="1"/>
  <c r="G180" i="1"/>
  <c r="G157" i="1"/>
  <c r="G93" i="1"/>
  <c r="G29" i="1"/>
  <c r="G341" i="1"/>
  <c r="G349" i="1"/>
  <c r="G18" i="1"/>
  <c r="G34" i="1"/>
  <c r="G50" i="1"/>
  <c r="G74" i="1"/>
  <c r="G98" i="1"/>
  <c r="G130" i="1"/>
  <c r="G154" i="1"/>
  <c r="G170" i="1"/>
  <c r="G218" i="1"/>
  <c r="G234" i="1"/>
  <c r="G258" i="1"/>
  <c r="G298" i="1"/>
  <c r="G322" i="1"/>
  <c r="G346" i="1"/>
  <c r="G370" i="1"/>
  <c r="G394" i="1"/>
  <c r="G418" i="1"/>
  <c r="G442" i="1"/>
  <c r="G466" i="1"/>
  <c r="G490" i="1"/>
  <c r="G522" i="1"/>
  <c r="G554" i="1"/>
  <c r="G594" i="1"/>
  <c r="G26" i="1"/>
  <c r="G58" i="1"/>
  <c r="G90" i="1"/>
  <c r="G114" i="1"/>
  <c r="G138" i="1"/>
  <c r="G162" i="1"/>
  <c r="G186" i="1"/>
  <c r="G210" i="1"/>
  <c r="G242" i="1"/>
  <c r="G266" i="1"/>
  <c r="G290" i="1"/>
  <c r="G314" i="1"/>
  <c r="G338" i="1"/>
  <c r="G378" i="1"/>
  <c r="G402" i="1"/>
  <c r="G426" i="1"/>
  <c r="G450" i="1"/>
  <c r="G474" i="1"/>
  <c r="G498" i="1"/>
  <c r="G514" i="1"/>
  <c r="G538" i="1"/>
  <c r="G562" i="1"/>
  <c r="G586" i="1"/>
  <c r="G10" i="1"/>
  <c r="G42" i="1"/>
  <c r="G82" i="1"/>
  <c r="G106" i="1"/>
  <c r="G122" i="1"/>
  <c r="G146" i="1"/>
  <c r="G178" i="1"/>
  <c r="G202" i="1"/>
  <c r="G226" i="1"/>
  <c r="G250" i="1"/>
  <c r="G274" i="1"/>
  <c r="G306" i="1"/>
  <c r="G330" i="1"/>
  <c r="G354" i="1"/>
  <c r="G362" i="1"/>
  <c r="G386" i="1"/>
  <c r="G410" i="1"/>
  <c r="G434" i="1"/>
  <c r="G458" i="1"/>
  <c r="G482" i="1"/>
  <c r="G506" i="1"/>
  <c r="G530" i="1"/>
  <c r="G570" i="1"/>
  <c r="G578" i="1"/>
  <c r="G8" i="1"/>
  <c r="G9" i="1"/>
  <c r="G25" i="1"/>
  <c r="G49" i="1"/>
  <c r="G73" i="1"/>
  <c r="G89" i="1"/>
  <c r="G137" i="1"/>
  <c r="G153" i="1"/>
  <c r="G185" i="1"/>
  <c r="G209" i="1"/>
  <c r="G265" i="1"/>
  <c r="G281" i="1"/>
  <c r="G313" i="1"/>
  <c r="G369" i="1"/>
  <c r="G401" i="1"/>
  <c r="G409" i="1"/>
  <c r="G425" i="1"/>
  <c r="G441" i="1"/>
  <c r="G457" i="1"/>
  <c r="G465" i="1"/>
  <c r="G481" i="1"/>
  <c r="G497" i="1"/>
  <c r="G513" i="1"/>
  <c r="G537" i="1"/>
  <c r="G561" i="1"/>
  <c r="G577" i="1"/>
  <c r="G13" i="1"/>
  <c r="G21" i="1"/>
  <c r="G37" i="1"/>
  <c r="G45" i="1"/>
  <c r="G53" i="1"/>
  <c r="G61" i="1"/>
  <c r="G77" i="1"/>
  <c r="G85" i="1"/>
  <c r="G101" i="1"/>
  <c r="G109" i="1"/>
  <c r="G117" i="1"/>
  <c r="G125" i="1"/>
  <c r="G141" i="1"/>
  <c r="G149" i="1"/>
  <c r="G173" i="1"/>
  <c r="G189" i="1"/>
  <c r="G197" i="1"/>
  <c r="G205" i="1"/>
  <c r="G213" i="1"/>
  <c r="G221" i="1"/>
  <c r="G229" i="1"/>
  <c r="G237" i="1"/>
  <c r="G253" i="1"/>
  <c r="G261" i="1"/>
  <c r="G285" i="1"/>
  <c r="G293" i="1"/>
  <c r="G301" i="1"/>
  <c r="G317" i="1"/>
  <c r="G325" i="1"/>
  <c r="G333" i="1"/>
  <c r="G365" i="1"/>
  <c r="G357" i="1"/>
  <c r="G389" i="1"/>
  <c r="G421" i="1"/>
  <c r="G453" i="1"/>
  <c r="G485" i="1"/>
  <c r="G493" i="1"/>
  <c r="G517" i="1"/>
  <c r="G557" i="1"/>
  <c r="G589" i="1"/>
  <c r="G6" i="1"/>
  <c r="G14" i="1"/>
  <c r="G22" i="1"/>
  <c r="G30" i="1"/>
  <c r="G38" i="1"/>
  <c r="G46" i="1"/>
  <c r="G62" i="1"/>
  <c r="G70" i="1"/>
  <c r="G78" i="1"/>
  <c r="G94" i="1"/>
  <c r="G102" i="1"/>
  <c r="G110" i="1"/>
  <c r="G118" i="1"/>
  <c r="G126" i="1"/>
  <c r="G134" i="1"/>
  <c r="G142" i="1"/>
  <c r="G150" i="1"/>
  <c r="G158" i="1"/>
  <c r="G166" i="1"/>
  <c r="G174" i="1"/>
  <c r="G182" i="1"/>
  <c r="G190" i="1"/>
  <c r="G198" i="1"/>
  <c r="G206" i="1"/>
  <c r="G214" i="1"/>
  <c r="G222" i="1"/>
  <c r="G230" i="1"/>
  <c r="G238" i="1"/>
  <c r="G246" i="1"/>
  <c r="G254" i="1"/>
  <c r="G270" i="1"/>
  <c r="G278" i="1"/>
  <c r="G286" i="1"/>
  <c r="G294" i="1"/>
  <c r="G310" i="1"/>
  <c r="G318" i="1"/>
  <c r="G326" i="1"/>
  <c r="G334" i="1"/>
  <c r="G342" i="1"/>
  <c r="G350" i="1"/>
  <c r="G358" i="1"/>
  <c r="G366" i="1"/>
  <c r="G374" i="1"/>
  <c r="G382" i="1"/>
  <c r="G390" i="1"/>
  <c r="G398" i="1"/>
  <c r="G414" i="1"/>
  <c r="G422" i="1"/>
  <c r="G438" i="1"/>
  <c r="G446" i="1"/>
  <c r="G454" i="1"/>
  <c r="G462" i="1"/>
  <c r="G470" i="1"/>
  <c r="G478" i="1"/>
  <c r="G486" i="1"/>
  <c r="G494" i="1"/>
  <c r="G502" i="1"/>
  <c r="G510" i="1"/>
  <c r="G518" i="1"/>
  <c r="G526" i="1"/>
  <c r="G534" i="1"/>
  <c r="G542" i="1"/>
  <c r="G550" i="1"/>
  <c r="G558" i="1"/>
  <c r="G566" i="1"/>
  <c r="G574" i="1"/>
  <c r="G582" i="1"/>
  <c r="G590" i="1"/>
  <c r="G598" i="1"/>
  <c r="G381" i="1"/>
  <c r="G397" i="1"/>
  <c r="G413" i="1"/>
  <c r="G429" i="1"/>
  <c r="G445" i="1"/>
  <c r="G461" i="1"/>
  <c r="G477" i="1"/>
  <c r="G509" i="1"/>
  <c r="G525" i="1"/>
  <c r="G541" i="1"/>
  <c r="G549" i="1"/>
  <c r="G573" i="1"/>
  <c r="G7" i="1"/>
  <c r="G15" i="1"/>
  <c r="G23" i="1"/>
  <c r="G31" i="1"/>
  <c r="G39" i="1"/>
  <c r="G47" i="1"/>
  <c r="G55" i="1"/>
  <c r="G63" i="1"/>
  <c r="G71" i="1"/>
  <c r="G79" i="1"/>
  <c r="G87" i="1"/>
  <c r="G95" i="1"/>
  <c r="G103" i="1"/>
  <c r="G119" i="1"/>
  <c r="G127" i="1"/>
  <c r="G135" i="1"/>
  <c r="G143" i="1"/>
  <c r="G159" i="1"/>
  <c r="G167" i="1"/>
  <c r="G175" i="1"/>
  <c r="G183" i="1"/>
  <c r="G191" i="1"/>
  <c r="G199" i="1"/>
  <c r="G207" i="1"/>
  <c r="G215" i="1"/>
  <c r="G223" i="1"/>
  <c r="G231" i="1"/>
  <c r="G239" i="1"/>
  <c r="G247" i="1"/>
  <c r="G255" i="1"/>
  <c r="G263" i="1"/>
  <c r="G271" i="1"/>
  <c r="G279" i="1"/>
  <c r="G287" i="1"/>
  <c r="G295" i="1"/>
  <c r="G303" i="1"/>
  <c r="G311" i="1"/>
  <c r="G319" i="1"/>
  <c r="G327" i="1"/>
  <c r="G335" i="1"/>
  <c r="G351" i="1"/>
  <c r="G359" i="1"/>
  <c r="G367" i="1"/>
  <c r="G375" i="1"/>
  <c r="G383" i="1"/>
  <c r="G391" i="1"/>
  <c r="G399" i="1"/>
  <c r="G407" i="1"/>
  <c r="G415" i="1"/>
  <c r="G423" i="1"/>
  <c r="G431" i="1"/>
  <c r="G439" i="1"/>
  <c r="G447" i="1"/>
  <c r="G455" i="1"/>
  <c r="G463" i="1"/>
  <c r="G471" i="1"/>
  <c r="G479" i="1"/>
  <c r="G487" i="1"/>
  <c r="G495" i="1"/>
  <c r="G503" i="1"/>
  <c r="G511" i="1"/>
  <c r="G519" i="1"/>
  <c r="G527" i="1"/>
  <c r="G535" i="1"/>
  <c r="G543" i="1"/>
  <c r="G551" i="1"/>
  <c r="G559" i="1"/>
  <c r="G567" i="1"/>
  <c r="G583" i="1"/>
  <c r="G591" i="1"/>
  <c r="G599" i="1"/>
  <c r="G48" i="1"/>
  <c r="G66" i="1"/>
  <c r="G151" i="1"/>
  <c r="G194" i="1"/>
  <c r="G54" i="1"/>
  <c r="G86" i="1"/>
  <c r="G111" i="1"/>
  <c r="G165" i="1"/>
  <c r="G451" i="1"/>
  <c r="G456" i="1"/>
  <c r="G480" i="1"/>
  <c r="G546" i="1"/>
  <c r="G430" i="1"/>
  <c r="G241" i="1"/>
  <c r="G262" i="1"/>
  <c r="G337" i="1"/>
  <c r="G475" i="1"/>
  <c r="G531" i="1"/>
  <c r="G575" i="1"/>
  <c r="G581" i="1"/>
  <c r="G593" i="1"/>
  <c r="G302" i="1"/>
  <c r="G282" i="1"/>
  <c r="G424" i="1"/>
  <c r="G406" i="1"/>
  <c r="G343" i="1"/>
  <c r="G400" i="1"/>
  <c r="G331" i="1"/>
  <c r="G26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9839EA-FF2B-46DC-B798-FDA03C081C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E3EC98-1B87-44C6-82C4-0A78031B95C3}" name="WorksheetConnection_Accounts-Receivable.xlsx!AR_table1" type="102" refreshedVersion="8" minRefreshableVersion="5">
    <extLst>
      <ext xmlns:x15="http://schemas.microsoft.com/office/spreadsheetml/2010/11/main" uri="{DE250136-89BD-433C-8126-D09CA5730AF9}">
        <x15:connection id="AR_table 1" autoDelete="1">
          <x15:rangePr sourceName="_xlcn.WorksheetConnection_AccountsReceivable.xlsxAR_table11"/>
        </x15:connection>
      </ext>
    </extLst>
  </connection>
</connections>
</file>

<file path=xl/sharedStrings.xml><?xml version="1.0" encoding="utf-8"?>
<sst xmlns="http://schemas.openxmlformats.org/spreadsheetml/2006/main" count="1284" uniqueCount="630">
  <si>
    <t>AR20000</t>
  </si>
  <si>
    <t>AR20001</t>
  </si>
  <si>
    <t>AR20002</t>
  </si>
  <si>
    <t>AR20005</t>
  </si>
  <si>
    <t>AR20007</t>
  </si>
  <si>
    <t>AR20009</t>
  </si>
  <si>
    <t>AR20010</t>
  </si>
  <si>
    <t>AR20011</t>
  </si>
  <si>
    <t>AR20013</t>
  </si>
  <si>
    <t>AR20014</t>
  </si>
  <si>
    <t>AR20016</t>
  </si>
  <si>
    <t>AR20018</t>
  </si>
  <si>
    <t>AR20019</t>
  </si>
  <si>
    <t>AR20021</t>
  </si>
  <si>
    <t>AR20022</t>
  </si>
  <si>
    <t>AR20023</t>
  </si>
  <si>
    <t>AR20024</t>
  </si>
  <si>
    <t>AR20028</t>
  </si>
  <si>
    <t>AR20029</t>
  </si>
  <si>
    <t>AR20030</t>
  </si>
  <si>
    <t>AR20032</t>
  </si>
  <si>
    <t>AR20033</t>
  </si>
  <si>
    <t>AR20037</t>
  </si>
  <si>
    <t>AR20038</t>
  </si>
  <si>
    <t>AR20039</t>
  </si>
  <si>
    <t>AR20041</t>
  </si>
  <si>
    <t>AR20043</t>
  </si>
  <si>
    <t>AR20044</t>
  </si>
  <si>
    <t>AR20045</t>
  </si>
  <si>
    <t>AR20047</t>
  </si>
  <si>
    <t>AR20048</t>
  </si>
  <si>
    <t>AR20049</t>
  </si>
  <si>
    <t>AR20050</t>
  </si>
  <si>
    <t>AR20051</t>
  </si>
  <si>
    <t>AR20053</t>
  </si>
  <si>
    <t>AR20054</t>
  </si>
  <si>
    <t>AR20055</t>
  </si>
  <si>
    <t>AR20056</t>
  </si>
  <si>
    <t>AR20058</t>
  </si>
  <si>
    <t>AR20060</t>
  </si>
  <si>
    <t>AR20061</t>
  </si>
  <si>
    <t>AR20062</t>
  </si>
  <si>
    <t>AR20063</t>
  </si>
  <si>
    <t>AR20064</t>
  </si>
  <si>
    <t>AR20065</t>
  </si>
  <si>
    <t>AR20066</t>
  </si>
  <si>
    <t>AR20068</t>
  </si>
  <si>
    <t>AR20070</t>
  </si>
  <si>
    <t>AR20071</t>
  </si>
  <si>
    <t>AR20072</t>
  </si>
  <si>
    <t>AR20073</t>
  </si>
  <si>
    <t>AR20074</t>
  </si>
  <si>
    <t>AR20076</t>
  </si>
  <si>
    <t>AR20077</t>
  </si>
  <si>
    <t>AR20078</t>
  </si>
  <si>
    <t>AR20080</t>
  </si>
  <si>
    <t>AR20082</t>
  </si>
  <si>
    <t>AR20083</t>
  </si>
  <si>
    <t>AR20084</t>
  </si>
  <si>
    <t>AR20085</t>
  </si>
  <si>
    <t>AR20086</t>
  </si>
  <si>
    <t>AR20088</t>
  </si>
  <si>
    <t>AR20089</t>
  </si>
  <si>
    <t>AR20091</t>
  </si>
  <si>
    <t>AR20092</t>
  </si>
  <si>
    <t>AR20095</t>
  </si>
  <si>
    <t>AR20096</t>
  </si>
  <si>
    <t>AR20097</t>
  </si>
  <si>
    <t>AR20098</t>
  </si>
  <si>
    <t>AR20099</t>
  </si>
  <si>
    <t>AR20100</t>
  </si>
  <si>
    <t>AR20101</t>
  </si>
  <si>
    <t>AR20103</t>
  </si>
  <si>
    <t>AR20104</t>
  </si>
  <si>
    <t>AR20105</t>
  </si>
  <si>
    <t>AR20106</t>
  </si>
  <si>
    <t>AR20107</t>
  </si>
  <si>
    <t>AR20108</t>
  </si>
  <si>
    <t>AR20109</t>
  </si>
  <si>
    <t>AR20110</t>
  </si>
  <si>
    <t>AR20111</t>
  </si>
  <si>
    <t>AR20113</t>
  </si>
  <si>
    <t>AR20114</t>
  </si>
  <si>
    <t>AR20115</t>
  </si>
  <si>
    <t>AR20116</t>
  </si>
  <si>
    <t>AR20117</t>
  </si>
  <si>
    <t>AR20120</t>
  </si>
  <si>
    <t>AR20121</t>
  </si>
  <si>
    <t>AR20122</t>
  </si>
  <si>
    <t>AR20124</t>
  </si>
  <si>
    <t>AR20126</t>
  </si>
  <si>
    <t>AR20127</t>
  </si>
  <si>
    <t>AR20129</t>
  </si>
  <si>
    <t>AR20131</t>
  </si>
  <si>
    <t>AR20134</t>
  </si>
  <si>
    <t>AR20137</t>
  </si>
  <si>
    <t>AR20139</t>
  </si>
  <si>
    <t>AR20140</t>
  </si>
  <si>
    <t>AR20141</t>
  </si>
  <si>
    <t>AR20142</t>
  </si>
  <si>
    <t>AR20143</t>
  </si>
  <si>
    <t>AR20144</t>
  </si>
  <si>
    <t>AR20145</t>
  </si>
  <si>
    <t>AR20146</t>
  </si>
  <si>
    <t>AR20148</t>
  </si>
  <si>
    <t>AR20149</t>
  </si>
  <si>
    <t>AR20151</t>
  </si>
  <si>
    <t>AR20153</t>
  </si>
  <si>
    <t>AR20154</t>
  </si>
  <si>
    <t>AR20156</t>
  </si>
  <si>
    <t>AR20158</t>
  </si>
  <si>
    <t>AR20159</t>
  </si>
  <si>
    <t>AR20160</t>
  </si>
  <si>
    <t>AR20161</t>
  </si>
  <si>
    <t>AR20165</t>
  </si>
  <si>
    <t>AR20166</t>
  </si>
  <si>
    <t>AR20167</t>
  </si>
  <si>
    <t>AR20170</t>
  </si>
  <si>
    <t>AR20173</t>
  </si>
  <si>
    <t>AR20174</t>
  </si>
  <si>
    <t>AR20175</t>
  </si>
  <si>
    <t>AR20176</t>
  </si>
  <si>
    <t>AR20177</t>
  </si>
  <si>
    <t>AR20178</t>
  </si>
  <si>
    <t>AR20181</t>
  </si>
  <si>
    <t>AR20182</t>
  </si>
  <si>
    <t>AR20183</t>
  </si>
  <si>
    <t>AR20184</t>
  </si>
  <si>
    <t>AR20185</t>
  </si>
  <si>
    <t>AR20186</t>
  </si>
  <si>
    <t>AR20187</t>
  </si>
  <si>
    <t>AR20188</t>
  </si>
  <si>
    <t>AR20189</t>
  </si>
  <si>
    <t>AR20192</t>
  </si>
  <si>
    <t>AR20193</t>
  </si>
  <si>
    <t>AR20196</t>
  </si>
  <si>
    <t>AR20198</t>
  </si>
  <si>
    <t>AR20199</t>
  </si>
  <si>
    <t>AR20200</t>
  </si>
  <si>
    <t>AR20201</t>
  </si>
  <si>
    <t>AR20202</t>
  </si>
  <si>
    <t>AR20205</t>
  </si>
  <si>
    <t>AR20206</t>
  </si>
  <si>
    <t>AR20207</t>
  </si>
  <si>
    <t>AR20209</t>
  </si>
  <si>
    <t>AR20210</t>
  </si>
  <si>
    <t>AR20213</t>
  </si>
  <si>
    <t>AR20214</t>
  </si>
  <si>
    <t>AR20217</t>
  </si>
  <si>
    <t>AR20220</t>
  </si>
  <si>
    <t>AR20221</t>
  </si>
  <si>
    <t>AR20222</t>
  </si>
  <si>
    <t>AR20223</t>
  </si>
  <si>
    <t>AR20224</t>
  </si>
  <si>
    <t>AR20225</t>
  </si>
  <si>
    <t>AR20226</t>
  </si>
  <si>
    <t>AR20227</t>
  </si>
  <si>
    <t>AR20250</t>
  </si>
  <si>
    <t>AR20254</t>
  </si>
  <si>
    <t>AR20255</t>
  </si>
  <si>
    <t>AR20256</t>
  </si>
  <si>
    <t>AR20257</t>
  </si>
  <si>
    <t>AR20258</t>
  </si>
  <si>
    <t>AR20259</t>
  </si>
  <si>
    <t>AR20260</t>
  </si>
  <si>
    <t>AR20261</t>
  </si>
  <si>
    <t>AR20262</t>
  </si>
  <si>
    <t>AR20263</t>
  </si>
  <si>
    <t>AR20264</t>
  </si>
  <si>
    <t>AR20265</t>
  </si>
  <si>
    <t>AR20266</t>
  </si>
  <si>
    <t>AR20267</t>
  </si>
  <si>
    <t>AR20268</t>
  </si>
  <si>
    <t>AR20269</t>
  </si>
  <si>
    <t>AR20270</t>
  </si>
  <si>
    <t>AR20271</t>
  </si>
  <si>
    <t>AR20272</t>
  </si>
  <si>
    <t>AR20273</t>
  </si>
  <si>
    <t>AR20274</t>
  </si>
  <si>
    <t>AR20277</t>
  </si>
  <si>
    <t>AR20278</t>
  </si>
  <si>
    <t>AR20281</t>
  </si>
  <si>
    <t>AR20282</t>
  </si>
  <si>
    <t>AR20283</t>
  </si>
  <si>
    <t>AR20284</t>
  </si>
  <si>
    <t>AR20285</t>
  </si>
  <si>
    <t>AR20286</t>
  </si>
  <si>
    <t>AR20287</t>
  </si>
  <si>
    <t>AR20289</t>
  </si>
  <si>
    <t>AR20290</t>
  </si>
  <si>
    <t>AR20292</t>
  </si>
  <si>
    <t>AR20293</t>
  </si>
  <si>
    <t>AR20295</t>
  </si>
  <si>
    <t>AR20296</t>
  </si>
  <si>
    <t>AR20297</t>
  </si>
  <si>
    <t>AR20298</t>
  </si>
  <si>
    <t>AR20299</t>
  </si>
  <si>
    <t>AR20300</t>
  </si>
  <si>
    <t>AR20302</t>
  </si>
  <si>
    <t>AR20304</t>
  </si>
  <si>
    <t>AR20305</t>
  </si>
  <si>
    <t>AR20307</t>
  </si>
  <si>
    <t>AR20308</t>
  </si>
  <si>
    <t>AR20309</t>
  </si>
  <si>
    <t>AR20310</t>
  </si>
  <si>
    <t>AR20311</t>
  </si>
  <si>
    <t>AR20314</t>
  </si>
  <si>
    <t>AR20316</t>
  </si>
  <si>
    <t>AR20317</t>
  </si>
  <si>
    <t>AR20318</t>
  </si>
  <si>
    <t>AR20320</t>
  </si>
  <si>
    <t>AR20321</t>
  </si>
  <si>
    <t>AR20322</t>
  </si>
  <si>
    <t>AR20323</t>
  </si>
  <si>
    <t>AR20326</t>
  </si>
  <si>
    <t>AR20327</t>
  </si>
  <si>
    <t>AR20328</t>
  </si>
  <si>
    <t>AR20329</t>
  </si>
  <si>
    <t>AR20330</t>
  </si>
  <si>
    <t>AR20331</t>
  </si>
  <si>
    <t>AR20332</t>
  </si>
  <si>
    <t>AR20333</t>
  </si>
  <si>
    <t>AR20334</t>
  </si>
  <si>
    <t>AR20337</t>
  </si>
  <si>
    <t>AR20339</t>
  </si>
  <si>
    <t>AR20340</t>
  </si>
  <si>
    <t>AR20343</t>
  </si>
  <si>
    <t>AR20344</t>
  </si>
  <si>
    <t>AR20345</t>
  </si>
  <si>
    <t>AR20346</t>
  </si>
  <si>
    <t>AR20347</t>
  </si>
  <si>
    <t>AR20348</t>
  </si>
  <si>
    <t>AR20349</t>
  </si>
  <si>
    <t>AR20350</t>
  </si>
  <si>
    <t>AR20353</t>
  </si>
  <si>
    <t>AR20354</t>
  </si>
  <si>
    <t>AR20358</t>
  </si>
  <si>
    <t>AR20360</t>
  </si>
  <si>
    <t>AR20362</t>
  </si>
  <si>
    <t>AR20363</t>
  </si>
  <si>
    <t>AR20364</t>
  </si>
  <si>
    <t>AR20368</t>
  </si>
  <si>
    <t>AR20369</t>
  </si>
  <si>
    <t>AR20370</t>
  </si>
  <si>
    <t>AR20371</t>
  </si>
  <si>
    <t>AR20375</t>
  </si>
  <si>
    <t>AR20377</t>
  </si>
  <si>
    <t>AR20382</t>
  </si>
  <si>
    <t>AR20383</t>
  </si>
  <si>
    <t>AR20384</t>
  </si>
  <si>
    <t>AR20385</t>
  </si>
  <si>
    <t>AR20386</t>
  </si>
  <si>
    <t>AR20388</t>
  </si>
  <si>
    <t>AR20389</t>
  </si>
  <si>
    <t>AR20391</t>
  </si>
  <si>
    <t>AR20392</t>
  </si>
  <si>
    <t>AR20393</t>
  </si>
  <si>
    <t>AR20394</t>
  </si>
  <si>
    <t>AR20395</t>
  </si>
  <si>
    <t>AR20396</t>
  </si>
  <si>
    <t>AR20397</t>
  </si>
  <si>
    <t>AR20399</t>
  </si>
  <si>
    <t>AR20401</t>
  </si>
  <si>
    <t>AR20404</t>
  </si>
  <si>
    <t>AR20405</t>
  </si>
  <si>
    <t>AR20406</t>
  </si>
  <si>
    <t>AR20407</t>
  </si>
  <si>
    <t>AR20408</t>
  </si>
  <si>
    <t>AR20413</t>
  </si>
  <si>
    <t>AR20414</t>
  </si>
  <si>
    <t>AR20416</t>
  </si>
  <si>
    <t>AR20418</t>
  </si>
  <si>
    <t>AR20420</t>
  </si>
  <si>
    <t>AR20421</t>
  </si>
  <si>
    <t>AR20425</t>
  </si>
  <si>
    <t>AR20426</t>
  </si>
  <si>
    <t>AR20428</t>
  </si>
  <si>
    <t>AR20429</t>
  </si>
  <si>
    <t>AR20430</t>
  </si>
  <si>
    <t>AR20431</t>
  </si>
  <si>
    <t>AR20432</t>
  </si>
  <si>
    <t>AR20433</t>
  </si>
  <si>
    <t>AR20434</t>
  </si>
  <si>
    <t>AR20435</t>
  </si>
  <si>
    <t>AR20437</t>
  </si>
  <si>
    <t>AR20441</t>
  </si>
  <si>
    <t>AR20442</t>
  </si>
  <si>
    <t>AR20446</t>
  </si>
  <si>
    <t>AR20447</t>
  </si>
  <si>
    <t>AR20448</t>
  </si>
  <si>
    <t>AR20450</t>
  </si>
  <si>
    <t>AR20451</t>
  </si>
  <si>
    <t>AR20452</t>
  </si>
  <si>
    <t>AR20453</t>
  </si>
  <si>
    <t>AR20454</t>
  </si>
  <si>
    <t>AR20455</t>
  </si>
  <si>
    <t>AR20456</t>
  </si>
  <si>
    <t>AR20457</t>
  </si>
  <si>
    <t>AR20459</t>
  </si>
  <si>
    <t>AR20460</t>
  </si>
  <si>
    <t>AR20462</t>
  </si>
  <si>
    <t>AR20465</t>
  </si>
  <si>
    <t>AR20466</t>
  </si>
  <si>
    <t>AR20467</t>
  </si>
  <si>
    <t>AR20468</t>
  </si>
  <si>
    <t>AR20471</t>
  </si>
  <si>
    <t>AR20472</t>
  </si>
  <si>
    <t>AR20474</t>
  </si>
  <si>
    <t>AR20475</t>
  </si>
  <si>
    <t>AR20477</t>
  </si>
  <si>
    <t>AR20478</t>
  </si>
  <si>
    <t>AR20479</t>
  </si>
  <si>
    <t>AR20481</t>
  </si>
  <si>
    <t>AR20482</t>
  </si>
  <si>
    <t>AR20485</t>
  </si>
  <si>
    <t>AR20491</t>
  </si>
  <si>
    <t>AR20492</t>
  </si>
  <si>
    <t>AR20493</t>
  </si>
  <si>
    <t>AR20495</t>
  </si>
  <si>
    <t>AR20496</t>
  </si>
  <si>
    <t>AR20497</t>
  </si>
  <si>
    <t>AR20500</t>
  </si>
  <si>
    <t>AR20501</t>
  </si>
  <si>
    <t>AR20502</t>
  </si>
  <si>
    <t>AR20503</t>
  </si>
  <si>
    <t>AR20505</t>
  </si>
  <si>
    <t>AR20507</t>
  </si>
  <si>
    <t>AR20508</t>
  </si>
  <si>
    <t>AR20509</t>
  </si>
  <si>
    <t>AR20510</t>
  </si>
  <si>
    <t>AR20512</t>
  </si>
  <si>
    <t>AR20514</t>
  </si>
  <si>
    <t>AR20515</t>
  </si>
  <si>
    <t>AR20516</t>
  </si>
  <si>
    <t>AR20517</t>
  </si>
  <si>
    <t>AR20518</t>
  </si>
  <si>
    <t>AR20519</t>
  </si>
  <si>
    <t>AR20520</t>
  </si>
  <si>
    <t>AR20521</t>
  </si>
  <si>
    <t>AR20522</t>
  </si>
  <si>
    <t>AR20523</t>
  </si>
  <si>
    <t>AR20524</t>
  </si>
  <si>
    <t>AR20525</t>
  </si>
  <si>
    <t>AR20526</t>
  </si>
  <si>
    <t>AR20528</t>
  </si>
  <si>
    <t>AR20529</t>
  </si>
  <si>
    <t>AR20533</t>
  </si>
  <si>
    <t>AR20534</t>
  </si>
  <si>
    <t>AR20535</t>
  </si>
  <si>
    <t>AR20536</t>
  </si>
  <si>
    <t>AR20537</t>
  </si>
  <si>
    <t>AR20538</t>
  </si>
  <si>
    <t>AR20539</t>
  </si>
  <si>
    <t>AR20541</t>
  </si>
  <si>
    <t>AR20542</t>
  </si>
  <si>
    <t>AR20543</t>
  </si>
  <si>
    <t>AR20545</t>
  </si>
  <si>
    <t>AR20546</t>
  </si>
  <si>
    <t>AR20547</t>
  </si>
  <si>
    <t>AR20548</t>
  </si>
  <si>
    <t>AR20550</t>
  </si>
  <si>
    <t>AR20551</t>
  </si>
  <si>
    <t>AR20552</t>
  </si>
  <si>
    <t>AR20554</t>
  </si>
  <si>
    <t>AR20556</t>
  </si>
  <si>
    <t>AR20557</t>
  </si>
  <si>
    <t>AR20558</t>
  </si>
  <si>
    <t>AR20560</t>
  </si>
  <si>
    <t>AR20561</t>
  </si>
  <si>
    <t>AR20562</t>
  </si>
  <si>
    <t>AR20563</t>
  </si>
  <si>
    <t>AR20565</t>
  </si>
  <si>
    <t>AR20566</t>
  </si>
  <si>
    <t>AR20567</t>
  </si>
  <si>
    <t>AR20568</t>
  </si>
  <si>
    <t>AR20569</t>
  </si>
  <si>
    <t>AR20570</t>
  </si>
  <si>
    <t>AR20571</t>
  </si>
  <si>
    <t>AR20573</t>
  </si>
  <si>
    <t>AR20577</t>
  </si>
  <si>
    <t>AR20580</t>
  </si>
  <si>
    <t>AR20582</t>
  </si>
  <si>
    <t>AR20583</t>
  </si>
  <si>
    <t>AR20584</t>
  </si>
  <si>
    <t>AR20586</t>
  </si>
  <si>
    <t>AR20587</t>
  </si>
  <si>
    <t>AR20588</t>
  </si>
  <si>
    <t>AR20592</t>
  </si>
  <si>
    <t>AR20593</t>
  </si>
  <si>
    <t>AR20594</t>
  </si>
  <si>
    <t>AR20596</t>
  </si>
  <si>
    <t>AR20597</t>
  </si>
  <si>
    <t>AR20598</t>
  </si>
  <si>
    <t>AR20600</t>
  </si>
  <si>
    <t>AR20601</t>
  </si>
  <si>
    <t>AR20603</t>
  </si>
  <si>
    <t>AR20604</t>
  </si>
  <si>
    <t>AR20605</t>
  </si>
  <si>
    <t>AR20606</t>
  </si>
  <si>
    <t>AR20607</t>
  </si>
  <si>
    <t>AR20608</t>
  </si>
  <si>
    <t>AR20609</t>
  </si>
  <si>
    <t>AR20610</t>
  </si>
  <si>
    <t>AR20612</t>
  </si>
  <si>
    <t>AR20613</t>
  </si>
  <si>
    <t>AR20614</t>
  </si>
  <si>
    <t>AR20615</t>
  </si>
  <si>
    <t>AR20617</t>
  </si>
  <si>
    <t>AR20618</t>
  </si>
  <si>
    <t>AR20619</t>
  </si>
  <si>
    <t>AR20622</t>
  </si>
  <si>
    <t>AR20624</t>
  </si>
  <si>
    <t>AR20625</t>
  </si>
  <si>
    <t>AR20626</t>
  </si>
  <si>
    <t>AR20628</t>
  </si>
  <si>
    <t>AR20629</t>
  </si>
  <si>
    <t>AR20630</t>
  </si>
  <si>
    <t>AR20631</t>
  </si>
  <si>
    <t>AR20634</t>
  </si>
  <si>
    <t>AR20635</t>
  </si>
  <si>
    <t>AR20636</t>
  </si>
  <si>
    <t>AR20637</t>
  </si>
  <si>
    <t>AR20638</t>
  </si>
  <si>
    <t>AR20639</t>
  </si>
  <si>
    <t>AR20640</t>
  </si>
  <si>
    <t>AR20641</t>
  </si>
  <si>
    <t>AR20642</t>
  </si>
  <si>
    <t>AR20646</t>
  </si>
  <si>
    <t>AR20648</t>
  </si>
  <si>
    <t>AR20649</t>
  </si>
  <si>
    <t>AR20650</t>
  </si>
  <si>
    <t>AR20653</t>
  </si>
  <si>
    <t>AR20654</t>
  </si>
  <si>
    <t>AR20655</t>
  </si>
  <si>
    <t>AR20656</t>
  </si>
  <si>
    <t>AR20657</t>
  </si>
  <si>
    <t>AR20658</t>
  </si>
  <si>
    <t>AR20659</t>
  </si>
  <si>
    <t>AR20664</t>
  </si>
  <si>
    <t>AR20665</t>
  </si>
  <si>
    <t>AR20666</t>
  </si>
  <si>
    <t>AR20668</t>
  </si>
  <si>
    <t>AR20671</t>
  </si>
  <si>
    <t>AR20672</t>
  </si>
  <si>
    <t>AR20673</t>
  </si>
  <si>
    <t>AR20674</t>
  </si>
  <si>
    <t>AR20676</t>
  </si>
  <si>
    <t>AR20679</t>
  </si>
  <si>
    <t>AR20680</t>
  </si>
  <si>
    <t>AR20681</t>
  </si>
  <si>
    <t>AR20684</t>
  </si>
  <si>
    <t>AR20685</t>
  </si>
  <si>
    <t>AR20686</t>
  </si>
  <si>
    <t>AR20687</t>
  </si>
  <si>
    <t>AR20688</t>
  </si>
  <si>
    <t>AR20689</t>
  </si>
  <si>
    <t>AR20690</t>
  </si>
  <si>
    <t>AR20691</t>
  </si>
  <si>
    <t>AR20693</t>
  </si>
  <si>
    <t>AR20694</t>
  </si>
  <si>
    <t>AR20695</t>
  </si>
  <si>
    <t>AR20696</t>
  </si>
  <si>
    <t>AR20697</t>
  </si>
  <si>
    <t>AR20698</t>
  </si>
  <si>
    <t>AR20699</t>
  </si>
  <si>
    <t>AR20700</t>
  </si>
  <si>
    <t>AR20702</t>
  </si>
  <si>
    <t>AR20704</t>
  </si>
  <si>
    <t>AR20705</t>
  </si>
  <si>
    <t>AR20706</t>
  </si>
  <si>
    <t>AR20708</t>
  </si>
  <si>
    <t>AR20709</t>
  </si>
  <si>
    <t>AR20710</t>
  </si>
  <si>
    <t>AR20712</t>
  </si>
  <si>
    <t>AR20713</t>
  </si>
  <si>
    <t>AR20715</t>
  </si>
  <si>
    <t>AR20717</t>
  </si>
  <si>
    <t>AR20718</t>
  </si>
  <si>
    <t>AR20720</t>
  </si>
  <si>
    <t>AR20721</t>
  </si>
  <si>
    <t>AR20722</t>
  </si>
  <si>
    <t>AR20725</t>
  </si>
  <si>
    <t>AR20726</t>
  </si>
  <si>
    <t>AR20727</t>
  </si>
  <si>
    <t>AR20728</t>
  </si>
  <si>
    <t>AR20729</t>
  </si>
  <si>
    <t>AR20731</t>
  </si>
  <si>
    <t>AR20733</t>
  </si>
  <si>
    <t>AR20735</t>
  </si>
  <si>
    <t>AR20736</t>
  </si>
  <si>
    <t>AR20738</t>
  </si>
  <si>
    <t>AR20741</t>
  </si>
  <si>
    <t>AR20743</t>
  </si>
  <si>
    <t>AR20745</t>
  </si>
  <si>
    <t>AR20747</t>
  </si>
  <si>
    <t>AR20748</t>
  </si>
  <si>
    <t>AR20749</t>
  </si>
  <si>
    <t>AR20750</t>
  </si>
  <si>
    <t>AR20751</t>
  </si>
  <si>
    <t>AR20752</t>
  </si>
  <si>
    <t>AR20753</t>
  </si>
  <si>
    <t>AR20754</t>
  </si>
  <si>
    <t>AR20756</t>
  </si>
  <si>
    <t>AR20764</t>
  </si>
  <si>
    <t>AR20766</t>
  </si>
  <si>
    <t>AR20767</t>
  </si>
  <si>
    <t>AR20769</t>
  </si>
  <si>
    <t>AR20770</t>
  </si>
  <si>
    <t>AR20774</t>
  </si>
  <si>
    <t>AR20776</t>
  </si>
  <si>
    <t>AR20777</t>
  </si>
  <si>
    <t>AR20781</t>
  </si>
  <si>
    <t>AR20783</t>
  </si>
  <si>
    <t>AR20786</t>
  </si>
  <si>
    <t>AR20788</t>
  </si>
  <si>
    <t>AR20789</t>
  </si>
  <si>
    <t>AR20791</t>
  </si>
  <si>
    <t>AR20792</t>
  </si>
  <si>
    <t>AR20793</t>
  </si>
  <si>
    <t>AR20794</t>
  </si>
  <si>
    <t>AR20795</t>
  </si>
  <si>
    <t>AR20796</t>
  </si>
  <si>
    <t>AR20797</t>
  </si>
  <si>
    <t>AR20798</t>
  </si>
  <si>
    <t>AR20799</t>
  </si>
  <si>
    <t>AR20802</t>
  </si>
  <si>
    <t>AR20804</t>
  </si>
  <si>
    <t>AR20805</t>
  </si>
  <si>
    <t>AR20808</t>
  </si>
  <si>
    <t>AR20811</t>
  </si>
  <si>
    <t>AR20812</t>
  </si>
  <si>
    <t>AR20813</t>
  </si>
  <si>
    <t>AR20814</t>
  </si>
  <si>
    <t>AR20815</t>
  </si>
  <si>
    <t>AR20816</t>
  </si>
  <si>
    <t>AR20819</t>
  </si>
  <si>
    <t>AR20820</t>
  </si>
  <si>
    <t>AR20821</t>
  </si>
  <si>
    <t>AR20822</t>
  </si>
  <si>
    <t>AR20823</t>
  </si>
  <si>
    <t>AR20824</t>
  </si>
  <si>
    <t>AR20825</t>
  </si>
  <si>
    <t>AR20826</t>
  </si>
  <si>
    <t>AR20827</t>
  </si>
  <si>
    <t>AR20829</t>
  </si>
  <si>
    <t>AR20830</t>
  </si>
  <si>
    <t>AR20832</t>
  </si>
  <si>
    <t>AR20835</t>
  </si>
  <si>
    <t>AR20836</t>
  </si>
  <si>
    <t>AR20837</t>
  </si>
  <si>
    <t>AR20838</t>
  </si>
  <si>
    <t>AR20839</t>
  </si>
  <si>
    <t>AR20842</t>
  </si>
  <si>
    <t>AR20843</t>
  </si>
  <si>
    <t>AR20844</t>
  </si>
  <si>
    <t>AR20847</t>
  </si>
  <si>
    <t>AR20848</t>
  </si>
  <si>
    <t>AR20849</t>
  </si>
  <si>
    <t>AR20850</t>
  </si>
  <si>
    <t>AR20851</t>
  </si>
  <si>
    <t>AR20853</t>
  </si>
  <si>
    <t>AR20854</t>
  </si>
  <si>
    <t>AR20856</t>
  </si>
  <si>
    <t>AR20858</t>
  </si>
  <si>
    <t>AR20859</t>
  </si>
  <si>
    <t>AR20860</t>
  </si>
  <si>
    <t>AR20861</t>
  </si>
  <si>
    <t>AR20862</t>
  </si>
  <si>
    <t>AR20865</t>
  </si>
  <si>
    <t>AR20866</t>
  </si>
  <si>
    <t>AR20867</t>
  </si>
  <si>
    <t>AR20868</t>
  </si>
  <si>
    <t>AR20869</t>
  </si>
  <si>
    <t>AR20870</t>
  </si>
  <si>
    <t>AR20871</t>
  </si>
  <si>
    <t>AR20872</t>
  </si>
  <si>
    <t>AR20874</t>
  </si>
  <si>
    <t>AR20876</t>
  </si>
  <si>
    <t>AR20877</t>
  </si>
  <si>
    <t>AR20878</t>
  </si>
  <si>
    <t>AR20879</t>
  </si>
  <si>
    <t>AR20880</t>
  </si>
  <si>
    <t>AR20881</t>
  </si>
  <si>
    <t>AR20884</t>
  </si>
  <si>
    <t>AR20887</t>
  </si>
  <si>
    <t>AR20889</t>
  </si>
  <si>
    <t>AR20890</t>
  </si>
  <si>
    <t>AR20892</t>
  </si>
  <si>
    <t>AR20893</t>
  </si>
  <si>
    <t>AR20895</t>
  </si>
  <si>
    <t>AR20898</t>
  </si>
  <si>
    <t>Soylent</t>
  </si>
  <si>
    <t>Umbrella</t>
  </si>
  <si>
    <t>Acme</t>
  </si>
  <si>
    <t>Initech</t>
  </si>
  <si>
    <t>Globex</t>
  </si>
  <si>
    <t>Invoice term (days)</t>
  </si>
  <si>
    <t>ar_id</t>
  </si>
  <si>
    <t>customer</t>
  </si>
  <si>
    <t>invoice_date</t>
  </si>
  <si>
    <t>due_date</t>
  </si>
  <si>
    <t>past_due_days</t>
  </si>
  <si>
    <t>aging_category</t>
  </si>
  <si>
    <t>due_days</t>
  </si>
  <si>
    <t>Not due</t>
  </si>
  <si>
    <t>1-30</t>
  </si>
  <si>
    <t>31-60</t>
  </si>
  <si>
    <t>61-90</t>
  </si>
  <si>
    <t>&gt;90</t>
  </si>
  <si>
    <t>Grand Total</t>
  </si>
  <si>
    <t>aging_bucket</t>
  </si>
  <si>
    <t>Account Receivable Aging Report</t>
  </si>
  <si>
    <t>Row Labels</t>
  </si>
  <si>
    <t>Column Labels</t>
  </si>
  <si>
    <t>2025</t>
  </si>
  <si>
    <t>2026</t>
  </si>
  <si>
    <t>Jan</t>
  </si>
  <si>
    <t>Feb</t>
  </si>
  <si>
    <t>Mar</t>
  </si>
  <si>
    <t>Apr</t>
  </si>
  <si>
    <t>May</t>
  </si>
  <si>
    <t>Jun</t>
  </si>
  <si>
    <t>Jul</t>
  </si>
  <si>
    <t>Aug</t>
  </si>
  <si>
    <t>Sep</t>
  </si>
  <si>
    <t>Oct</t>
  </si>
  <si>
    <t>Nov</t>
  </si>
  <si>
    <t>Dec</t>
  </si>
  <si>
    <t>outstanding_amount</t>
  </si>
  <si>
    <t>Sum of outstanding_amount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</si>
</sst>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36"/>
      <color theme="1"/>
      <name val="Calibri"/>
      <family val="2"/>
      <scheme val="minor"/>
    </font>
    <font>
      <b/>
      <sz val="22"/>
      <color theme="1"/>
      <name val="Calibri"/>
      <family val="2"/>
      <scheme val="minor"/>
    </font>
    <font>
      <b/>
      <sz val="10"/>
      <color theme="1"/>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right/>
      <top/>
      <bottom style="thin">
        <color theme="4" tint="0.39997558519241921"/>
      </bottom>
      <diagonal/>
    </border>
    <border>
      <left style="thin">
        <color theme="0"/>
      </left>
      <right/>
      <top style="thick">
        <color theme="0"/>
      </top>
      <bottom/>
      <diagonal/>
    </border>
    <border>
      <left style="thin">
        <color theme="0"/>
      </left>
      <right/>
      <top/>
      <bottom/>
      <diagonal/>
    </border>
    <border>
      <left style="thin">
        <color theme="0"/>
      </left>
      <right style="thin">
        <color auto="1"/>
      </right>
      <top/>
      <bottom/>
      <diagonal/>
    </border>
  </borders>
  <cellStyleXfs count="1">
    <xf numFmtId="0" fontId="0" fillId="0" borderId="0"/>
  </cellStyleXfs>
  <cellXfs count="41">
    <xf numFmtId="0" fontId="0" fillId="0" borderId="0" xfId="0"/>
    <xf numFmtId="14" fontId="0" fillId="0" borderId="0" xfId="0" applyNumberFormat="1"/>
    <xf numFmtId="164" fontId="0" fillId="0" borderId="0" xfId="0" applyNumberFormat="1"/>
    <xf numFmtId="0" fontId="0" fillId="5" borderId="0" xfId="0" applyFill="1"/>
    <xf numFmtId="0" fontId="1" fillId="2" borderId="5" xfId="0" applyFont="1" applyFill="1" applyBorder="1" applyAlignment="1">
      <alignment horizontal="center" vertical="top"/>
    </xf>
    <xf numFmtId="14" fontId="1" fillId="2" borderId="5" xfId="0" applyNumberFormat="1" applyFont="1" applyFill="1" applyBorder="1" applyAlignment="1">
      <alignment horizontal="center" vertical="top"/>
    </xf>
    <xf numFmtId="164" fontId="1" fillId="2" borderId="5" xfId="0" applyNumberFormat="1" applyFont="1" applyFill="1" applyBorder="1" applyAlignment="1">
      <alignment horizontal="center" vertical="top"/>
    </xf>
    <xf numFmtId="17" fontId="0" fillId="0" borderId="0" xfId="0" quotePrefix="1" applyNumberFormat="1"/>
    <xf numFmtId="0" fontId="0" fillId="0" borderId="0" xfId="0" pivotButton="1"/>
    <xf numFmtId="0" fontId="0" fillId="0" borderId="0" xfId="0" applyAlignment="1">
      <alignment horizontal="left"/>
    </xf>
    <xf numFmtId="0" fontId="0" fillId="3" borderId="2" xfId="0" applyFont="1" applyFill="1" applyBorder="1"/>
    <xf numFmtId="0" fontId="0" fillId="3" borderId="0" xfId="0" applyFont="1" applyFill="1" applyBorder="1"/>
    <xf numFmtId="0" fontId="0" fillId="3" borderId="4" xfId="0" applyFont="1" applyFill="1" applyBorder="1"/>
    <xf numFmtId="0" fontId="0" fillId="4" borderId="2" xfId="0" applyFont="1" applyFill="1" applyBorder="1"/>
    <xf numFmtId="14" fontId="0" fillId="3" borderId="2" xfId="0" applyNumberFormat="1" applyFont="1" applyFill="1" applyBorder="1"/>
    <xf numFmtId="164" fontId="0" fillId="3" borderId="2" xfId="0" applyNumberFormat="1" applyFont="1" applyFill="1" applyBorder="1"/>
    <xf numFmtId="0" fontId="0" fillId="3" borderId="2" xfId="0" applyNumberFormat="1" applyFont="1" applyFill="1" applyBorder="1"/>
    <xf numFmtId="0" fontId="3" fillId="6" borderId="0" xfId="0" applyFont="1" applyFill="1" applyAlignment="1">
      <alignment horizontal="center" vertical="center"/>
    </xf>
    <xf numFmtId="0" fontId="0" fillId="0" borderId="0" xfId="0" applyAlignment="1">
      <alignment horizontal="left" indent="1"/>
    </xf>
    <xf numFmtId="0" fontId="0" fillId="0" borderId="0" xfId="0" applyBorder="1"/>
    <xf numFmtId="0" fontId="0" fillId="3" borderId="1" xfId="0" applyFont="1" applyFill="1" applyBorder="1"/>
    <xf numFmtId="0" fontId="0" fillId="3" borderId="3" xfId="0" applyFont="1" applyFill="1" applyBorder="1"/>
    <xf numFmtId="14" fontId="0" fillId="3" borderId="3" xfId="0" applyNumberFormat="1" applyFont="1" applyFill="1" applyBorder="1"/>
    <xf numFmtId="164" fontId="0" fillId="3" borderId="3" xfId="0" applyNumberFormat="1" applyFont="1" applyFill="1" applyBorder="1"/>
    <xf numFmtId="0" fontId="0" fillId="3" borderId="7" xfId="0" applyFont="1" applyFill="1" applyBorder="1"/>
    <xf numFmtId="0" fontId="0" fillId="4" borderId="4" xfId="0" applyFont="1" applyFill="1" applyBorder="1"/>
    <xf numFmtId="14" fontId="0" fillId="4" borderId="2" xfId="0" applyNumberFormat="1" applyFont="1" applyFill="1" applyBorder="1"/>
    <xf numFmtId="164" fontId="0" fillId="4" borderId="2" xfId="0" applyNumberFormat="1" applyFont="1" applyFill="1" applyBorder="1"/>
    <xf numFmtId="0" fontId="1" fillId="2" borderId="8" xfId="0" applyFont="1" applyFill="1" applyBorder="1" applyAlignment="1">
      <alignment horizontal="center" vertical="top"/>
    </xf>
    <xf numFmtId="0" fontId="1" fillId="2" borderId="9" xfId="0" applyFont="1" applyFill="1" applyBorder="1" applyAlignment="1">
      <alignment horizontal="center" vertical="top"/>
    </xf>
    <xf numFmtId="0" fontId="0" fillId="3" borderId="8" xfId="0" applyFont="1" applyFill="1" applyBorder="1"/>
    <xf numFmtId="14" fontId="0" fillId="3" borderId="8" xfId="0" applyNumberFormat="1" applyFont="1" applyFill="1" applyBorder="1"/>
    <xf numFmtId="164" fontId="0" fillId="3" borderId="8" xfId="0" applyNumberFormat="1" applyFont="1" applyFill="1" applyBorder="1"/>
    <xf numFmtId="0" fontId="0" fillId="3" borderId="8" xfId="0" applyNumberFormat="1" applyFont="1" applyFill="1" applyBorder="1"/>
    <xf numFmtId="164" fontId="0" fillId="0" borderId="0" xfId="0" pivotButton="1" applyNumberFormat="1"/>
    <xf numFmtId="164" fontId="0" fillId="0" borderId="0" xfId="0" applyNumberFormat="1" applyAlignment="1">
      <alignment horizontal="left"/>
    </xf>
    <xf numFmtId="0" fontId="2" fillId="0" borderId="6" xfId="0" applyFont="1" applyBorder="1" applyAlignment="1">
      <alignment horizontal="left"/>
    </xf>
    <xf numFmtId="164" fontId="0" fillId="0" borderId="0" xfId="0" applyNumberFormat="1" applyAlignment="1">
      <alignment horizontal="left" indent="1"/>
    </xf>
    <xf numFmtId="0" fontId="3" fillId="7" borderId="0" xfId="0" applyFont="1" applyFill="1" applyAlignment="1">
      <alignment vertical="center"/>
    </xf>
    <xf numFmtId="164" fontId="4" fillId="0" borderId="0" xfId="0" applyNumberFormat="1" applyFont="1" applyAlignment="1"/>
    <xf numFmtId="164" fontId="5" fillId="0" borderId="0" xfId="0" applyNumberFormat="1" applyFont="1" applyAlignment="1">
      <alignment horizontal="center"/>
    </xf>
  </cellXfs>
  <cellStyles count="1">
    <cellStyle name="Normal" xfId="0" builtinId="0"/>
  </cellStyles>
  <dxfs count="105">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quot;€&quot;\ #,##0.00"/>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border outline="0">
        <top style="thin">
          <color auto="1"/>
        </top>
        <bottom style="thin">
          <color theme="0"/>
        </bottom>
      </border>
    </dxf>
  </dxfs>
  <tableStyles count="0" defaultTableStyle="TableStyleMedium9" defaultPivotStyle="PivotStyleLight16"/>
  <colors>
    <mruColors>
      <color rgb="FFFFFF66"/>
      <color rgb="FFD836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[Accounts-Receivable.xlsx]aging_distribution!PivotTable12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a:t>
            </a:r>
            <a:r>
              <a:rPr lang="en-GB" baseline="0"/>
              <a:t> Aging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75000"/>
            </a:schemeClr>
          </a:solidFill>
          <a:ln>
            <a:noFill/>
          </a:ln>
          <a:effectLst/>
        </c:spPr>
      </c:pivotFmt>
      <c:pivotFmt>
        <c:idx val="1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75000"/>
            </a:schemeClr>
          </a:solidFill>
          <a:ln>
            <a:noFill/>
          </a:ln>
          <a:effectLst/>
        </c:spPr>
      </c:pivotFmt>
      <c:pivotFmt>
        <c:idx val="2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aging_distribution!$B$3:$B$4</c:f>
              <c:strCache>
                <c:ptCount val="1"/>
                <c:pt idx="0">
                  <c:v>Not due</c:v>
                </c:pt>
              </c:strCache>
            </c:strRef>
          </c:tx>
          <c:spPr>
            <a:solidFill>
              <a:srgbClr val="00B05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aging_distribution!$B$5:$B$26</c:f>
              <c:numCache>
                <c:formatCode>"€"\ #,##0.00</c:formatCode>
                <c:ptCount val="19"/>
                <c:pt idx="12">
                  <c:v>30061.59</c:v>
                </c:pt>
                <c:pt idx="13">
                  <c:v>72341.59</c:v>
                </c:pt>
                <c:pt idx="14">
                  <c:v>84319.09</c:v>
                </c:pt>
                <c:pt idx="15">
                  <c:v>71382.100000000006</c:v>
                </c:pt>
                <c:pt idx="16">
                  <c:v>101709.6</c:v>
                </c:pt>
                <c:pt idx="17">
                  <c:v>94829.03</c:v>
                </c:pt>
                <c:pt idx="18">
                  <c:v>29219.69</c:v>
                </c:pt>
              </c:numCache>
            </c:numRef>
          </c:val>
          <c:extLst>
            <c:ext xmlns:c16="http://schemas.microsoft.com/office/drawing/2014/chart" uri="{C3380CC4-5D6E-409C-BE32-E72D297353CC}">
              <c16:uniqueId val="{0000008A-65B2-4358-BC45-4A006D4FBD17}"/>
            </c:ext>
          </c:extLst>
        </c:ser>
        <c:ser>
          <c:idx val="1"/>
          <c:order val="1"/>
          <c:tx>
            <c:strRef>
              <c:f>aging_distribution!$C$3:$C$4</c:f>
              <c:strCache>
                <c:ptCount val="1"/>
                <c:pt idx="0">
                  <c:v>1-30</c:v>
                </c:pt>
              </c:strCache>
            </c:strRef>
          </c:tx>
          <c:spPr>
            <a:solidFill>
              <a:srgbClr val="92D05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aging_distribution!$C$5:$C$26</c:f>
              <c:numCache>
                <c:formatCode>"€"\ #,##0.00</c:formatCode>
                <c:ptCount val="19"/>
                <c:pt idx="11">
                  <c:v>149106.4</c:v>
                </c:pt>
                <c:pt idx="12">
                  <c:v>28520.19</c:v>
                </c:pt>
              </c:numCache>
            </c:numRef>
          </c:val>
          <c:extLst>
            <c:ext xmlns:c16="http://schemas.microsoft.com/office/drawing/2014/chart" uri="{C3380CC4-5D6E-409C-BE32-E72D297353CC}">
              <c16:uniqueId val="{00000097-65B2-4358-BC45-4A006D4FBD17}"/>
            </c:ext>
          </c:extLst>
        </c:ser>
        <c:ser>
          <c:idx val="2"/>
          <c:order val="2"/>
          <c:tx>
            <c:strRef>
              <c:f>aging_distribution!$D$3:$D$4</c:f>
              <c:strCache>
                <c:ptCount val="1"/>
                <c:pt idx="0">
                  <c:v>31-60</c:v>
                </c:pt>
              </c:strCache>
            </c:strRef>
          </c:tx>
          <c:spPr>
            <a:solidFill>
              <a:srgbClr val="FFFF0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aging_distribution!$D$5:$D$26</c:f>
              <c:numCache>
                <c:formatCode>"€"\ #,##0.00</c:formatCode>
                <c:ptCount val="19"/>
                <c:pt idx="9">
                  <c:v>61691.45</c:v>
                </c:pt>
                <c:pt idx="10">
                  <c:v>210508.24</c:v>
                </c:pt>
              </c:numCache>
            </c:numRef>
          </c:val>
          <c:extLst>
            <c:ext xmlns:c16="http://schemas.microsoft.com/office/drawing/2014/chart" uri="{C3380CC4-5D6E-409C-BE32-E72D297353CC}">
              <c16:uniqueId val="{00000098-65B2-4358-BC45-4A006D4FBD17}"/>
            </c:ext>
          </c:extLst>
        </c:ser>
        <c:ser>
          <c:idx val="3"/>
          <c:order val="3"/>
          <c:tx>
            <c:strRef>
              <c:f>aging_distribution!$E$3:$E$4</c:f>
              <c:strCache>
                <c:ptCount val="1"/>
                <c:pt idx="0">
                  <c:v>61-90</c:v>
                </c:pt>
              </c:strCache>
            </c:strRef>
          </c:tx>
          <c:spPr>
            <a:solidFill>
              <a:schemeClr val="accent6">
                <a:lumMod val="75000"/>
              </a:schemeClr>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aging_distribution!$E$5:$E$26</c:f>
              <c:numCache>
                <c:formatCode>"€"\ #,##0.00</c:formatCode>
                <c:ptCount val="19"/>
                <c:pt idx="8">
                  <c:v>152864.54</c:v>
                </c:pt>
                <c:pt idx="9">
                  <c:v>87017.77</c:v>
                </c:pt>
              </c:numCache>
            </c:numRef>
          </c:val>
          <c:extLst>
            <c:ext xmlns:c16="http://schemas.microsoft.com/office/drawing/2014/chart" uri="{C3380CC4-5D6E-409C-BE32-E72D297353CC}">
              <c16:uniqueId val="{00000099-65B2-4358-BC45-4A006D4FBD17}"/>
            </c:ext>
          </c:extLst>
        </c:ser>
        <c:ser>
          <c:idx val="4"/>
          <c:order val="4"/>
          <c:tx>
            <c:strRef>
              <c:f>aging_distribution!$F$3:$F$4</c:f>
              <c:strCache>
                <c:ptCount val="1"/>
                <c:pt idx="0">
                  <c:v>&gt;90</c:v>
                </c:pt>
              </c:strCache>
            </c:strRef>
          </c:tx>
          <c:spPr>
            <a:solidFill>
              <a:srgbClr val="C0000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aging_distribution!$F$5:$F$26</c:f>
              <c:numCache>
                <c:formatCode>"€"\ #,##0.00</c:formatCode>
                <c:ptCount val="19"/>
                <c:pt idx="0">
                  <c:v>110125.45</c:v>
                </c:pt>
                <c:pt idx="1">
                  <c:v>175533.31</c:v>
                </c:pt>
                <c:pt idx="2">
                  <c:v>160653.09</c:v>
                </c:pt>
                <c:pt idx="3">
                  <c:v>148855.23000000001</c:v>
                </c:pt>
                <c:pt idx="4">
                  <c:v>118840.42</c:v>
                </c:pt>
                <c:pt idx="5">
                  <c:v>145676.38</c:v>
                </c:pt>
                <c:pt idx="6">
                  <c:v>157209.32</c:v>
                </c:pt>
                <c:pt idx="7">
                  <c:v>167585.01</c:v>
                </c:pt>
                <c:pt idx="8">
                  <c:v>27676.240000000002</c:v>
                </c:pt>
              </c:numCache>
            </c:numRef>
          </c:val>
          <c:extLst>
            <c:ext xmlns:c16="http://schemas.microsoft.com/office/drawing/2014/chart" uri="{C3380CC4-5D6E-409C-BE32-E72D297353CC}">
              <c16:uniqueId val="{0000009A-65B2-4358-BC45-4A006D4FBD17}"/>
            </c:ext>
          </c:extLst>
        </c:ser>
        <c:dLbls>
          <c:showLegendKey val="0"/>
          <c:showVal val="0"/>
          <c:showCatName val="0"/>
          <c:showSerName val="0"/>
          <c:showPercent val="0"/>
          <c:showBubbleSize val="0"/>
        </c:dLbls>
        <c:gapWidth val="150"/>
        <c:overlap val="100"/>
        <c:axId val="79838880"/>
        <c:axId val="79838400"/>
      </c:barChart>
      <c:catAx>
        <c:axId val="7983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9838400"/>
        <c:crosses val="autoZero"/>
        <c:auto val="1"/>
        <c:lblAlgn val="ctr"/>
        <c:lblOffset val="100"/>
        <c:noMultiLvlLbl val="0"/>
      </c:catAx>
      <c:valAx>
        <c:axId val="7983840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983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[Accounts-Receivable.xlsx]AR_aging!PivotTable13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 Aging</a:t>
            </a:r>
            <a:r>
              <a:rPr lang="en-GB" baseline="0"/>
              <a:t> by Customer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AR_aging!$B$3:$B$4</c:f>
              <c:strCache>
                <c:ptCount val="1"/>
                <c:pt idx="0">
                  <c:v>Not due</c:v>
                </c:pt>
              </c:strCache>
            </c:strRef>
          </c:tx>
          <c:spPr>
            <a:solidFill>
              <a:srgbClr val="00B05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AR_aging!$B$5:$B$10</c:f>
              <c:numCache>
                <c:formatCode>"€"\ #,##0.00</c:formatCode>
                <c:ptCount val="5"/>
                <c:pt idx="0">
                  <c:v>100647.2</c:v>
                </c:pt>
                <c:pt idx="1">
                  <c:v>77904.22</c:v>
                </c:pt>
                <c:pt idx="2">
                  <c:v>86101.77</c:v>
                </c:pt>
                <c:pt idx="3">
                  <c:v>125615.3</c:v>
                </c:pt>
                <c:pt idx="4">
                  <c:v>93594.2</c:v>
                </c:pt>
              </c:numCache>
            </c:numRef>
          </c:val>
          <c:extLst>
            <c:ext xmlns:c16="http://schemas.microsoft.com/office/drawing/2014/chart" uri="{C3380CC4-5D6E-409C-BE32-E72D297353CC}">
              <c16:uniqueId val="{00000030-44F7-418E-A3E9-554CF70DD924}"/>
            </c:ext>
          </c:extLst>
        </c:ser>
        <c:ser>
          <c:idx val="1"/>
          <c:order val="1"/>
          <c:tx>
            <c:strRef>
              <c:f>AR_aging!$C$3:$C$4</c:f>
              <c:strCache>
                <c:ptCount val="1"/>
                <c:pt idx="0">
                  <c:v>1-30</c:v>
                </c:pt>
              </c:strCache>
            </c:strRef>
          </c:tx>
          <c:spPr>
            <a:solidFill>
              <a:srgbClr val="92D05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AR_aging!$C$5:$C$10</c:f>
              <c:numCache>
                <c:formatCode>"€"\ #,##0.00</c:formatCode>
                <c:ptCount val="5"/>
                <c:pt idx="0">
                  <c:v>28146.48</c:v>
                </c:pt>
                <c:pt idx="1">
                  <c:v>43900.59</c:v>
                </c:pt>
                <c:pt idx="2">
                  <c:v>27348.13</c:v>
                </c:pt>
                <c:pt idx="3">
                  <c:v>36288.6</c:v>
                </c:pt>
                <c:pt idx="4">
                  <c:v>41942.79</c:v>
                </c:pt>
              </c:numCache>
            </c:numRef>
          </c:val>
          <c:extLst>
            <c:ext xmlns:c16="http://schemas.microsoft.com/office/drawing/2014/chart" uri="{C3380CC4-5D6E-409C-BE32-E72D297353CC}">
              <c16:uniqueId val="{0000003D-44F7-418E-A3E9-554CF70DD924}"/>
            </c:ext>
          </c:extLst>
        </c:ser>
        <c:ser>
          <c:idx val="2"/>
          <c:order val="2"/>
          <c:tx>
            <c:strRef>
              <c:f>AR_aging!$D$3:$D$4</c:f>
              <c:strCache>
                <c:ptCount val="1"/>
                <c:pt idx="0">
                  <c:v>31-60</c:v>
                </c:pt>
              </c:strCache>
            </c:strRef>
          </c:tx>
          <c:spPr>
            <a:solidFill>
              <a:srgbClr val="FFFF0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AR_aging!$D$5:$D$10</c:f>
              <c:numCache>
                <c:formatCode>"€"\ #,##0.00</c:formatCode>
                <c:ptCount val="5"/>
                <c:pt idx="0">
                  <c:v>50265.36</c:v>
                </c:pt>
                <c:pt idx="1">
                  <c:v>65848.009999999995</c:v>
                </c:pt>
                <c:pt idx="2">
                  <c:v>42425.29</c:v>
                </c:pt>
                <c:pt idx="3">
                  <c:v>51317.29</c:v>
                </c:pt>
                <c:pt idx="4">
                  <c:v>62343.74</c:v>
                </c:pt>
              </c:numCache>
            </c:numRef>
          </c:val>
          <c:extLst>
            <c:ext xmlns:c16="http://schemas.microsoft.com/office/drawing/2014/chart" uri="{C3380CC4-5D6E-409C-BE32-E72D297353CC}">
              <c16:uniqueId val="{0000003E-44F7-418E-A3E9-554CF70DD924}"/>
            </c:ext>
          </c:extLst>
        </c:ser>
        <c:ser>
          <c:idx val="3"/>
          <c:order val="3"/>
          <c:tx>
            <c:strRef>
              <c:f>AR_aging!$E$3:$E$4</c:f>
              <c:strCache>
                <c:ptCount val="1"/>
                <c:pt idx="0">
                  <c:v>61-90</c:v>
                </c:pt>
              </c:strCache>
            </c:strRef>
          </c:tx>
          <c:spPr>
            <a:solidFill>
              <a:schemeClr val="accent6">
                <a:lumMod val="75000"/>
              </a:schemeClr>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AR_aging!$E$5:$E$10</c:f>
              <c:numCache>
                <c:formatCode>"€"\ #,##0.00</c:formatCode>
                <c:ptCount val="5"/>
                <c:pt idx="0">
                  <c:v>47405.87</c:v>
                </c:pt>
                <c:pt idx="1">
                  <c:v>35104.129999999997</c:v>
                </c:pt>
                <c:pt idx="2">
                  <c:v>29447.38</c:v>
                </c:pt>
                <c:pt idx="3">
                  <c:v>66359.64</c:v>
                </c:pt>
                <c:pt idx="4">
                  <c:v>61565.29</c:v>
                </c:pt>
              </c:numCache>
            </c:numRef>
          </c:val>
          <c:extLst>
            <c:ext xmlns:c16="http://schemas.microsoft.com/office/drawing/2014/chart" uri="{C3380CC4-5D6E-409C-BE32-E72D297353CC}">
              <c16:uniqueId val="{0000003F-44F7-418E-A3E9-554CF70DD924}"/>
            </c:ext>
          </c:extLst>
        </c:ser>
        <c:ser>
          <c:idx val="4"/>
          <c:order val="4"/>
          <c:tx>
            <c:strRef>
              <c:f>AR_aging!$F$3:$F$4</c:f>
              <c:strCache>
                <c:ptCount val="1"/>
                <c:pt idx="0">
                  <c:v>&gt;90</c:v>
                </c:pt>
              </c:strCache>
            </c:strRef>
          </c:tx>
          <c:spPr>
            <a:solidFill>
              <a:srgbClr val="C0000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AR_aging!$F$5:$F$10</c:f>
              <c:numCache>
                <c:formatCode>"€"\ #,##0.00</c:formatCode>
                <c:ptCount val="5"/>
                <c:pt idx="0">
                  <c:v>219120.39</c:v>
                </c:pt>
                <c:pt idx="1">
                  <c:v>287289.64</c:v>
                </c:pt>
                <c:pt idx="2">
                  <c:v>271689.89</c:v>
                </c:pt>
                <c:pt idx="3">
                  <c:v>246343.92</c:v>
                </c:pt>
                <c:pt idx="4">
                  <c:v>187710.61</c:v>
                </c:pt>
              </c:numCache>
            </c:numRef>
          </c:val>
          <c:extLst>
            <c:ext xmlns:c16="http://schemas.microsoft.com/office/drawing/2014/chart" uri="{C3380CC4-5D6E-409C-BE32-E72D297353CC}">
              <c16:uniqueId val="{00000040-44F7-418E-A3E9-554CF70DD924}"/>
            </c:ext>
          </c:extLst>
        </c:ser>
        <c:dLbls>
          <c:showLegendKey val="0"/>
          <c:showVal val="0"/>
          <c:showCatName val="0"/>
          <c:showSerName val="0"/>
          <c:showPercent val="0"/>
          <c:showBubbleSize val="0"/>
        </c:dLbls>
        <c:gapWidth val="150"/>
        <c:overlap val="100"/>
        <c:axId val="1261808432"/>
        <c:axId val="1261814192"/>
      </c:barChart>
      <c:catAx>
        <c:axId val="126180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61814192"/>
        <c:crosses val="autoZero"/>
        <c:auto val="1"/>
        <c:lblAlgn val="ctr"/>
        <c:lblOffset val="100"/>
        <c:noMultiLvlLbl val="0"/>
      </c:catAx>
      <c:valAx>
        <c:axId val="12618141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618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[Accounts-Receivable.xlsx]aging_distribution!PivotTable12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a:t>
            </a:r>
            <a:r>
              <a:rPr lang="en-GB" baseline="0"/>
              <a:t> Aging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aging_distribution!$B$3:$B$4</c:f>
              <c:strCache>
                <c:ptCount val="1"/>
                <c:pt idx="0">
                  <c:v>Not due</c:v>
                </c:pt>
              </c:strCache>
            </c:strRef>
          </c:tx>
          <c:spPr>
            <a:solidFill>
              <a:srgbClr val="00B05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aging_distribution!$B$5:$B$26</c:f>
              <c:numCache>
                <c:formatCode>"€"\ #,##0.00</c:formatCode>
                <c:ptCount val="19"/>
                <c:pt idx="12">
                  <c:v>30061.59</c:v>
                </c:pt>
                <c:pt idx="13">
                  <c:v>72341.59</c:v>
                </c:pt>
                <c:pt idx="14">
                  <c:v>84319.09</c:v>
                </c:pt>
                <c:pt idx="15">
                  <c:v>71382.100000000006</c:v>
                </c:pt>
                <c:pt idx="16">
                  <c:v>101709.6</c:v>
                </c:pt>
                <c:pt idx="17">
                  <c:v>94829.03</c:v>
                </c:pt>
                <c:pt idx="18">
                  <c:v>29219.69</c:v>
                </c:pt>
              </c:numCache>
            </c:numRef>
          </c:val>
          <c:extLst>
            <c:ext xmlns:c16="http://schemas.microsoft.com/office/drawing/2014/chart" uri="{C3380CC4-5D6E-409C-BE32-E72D297353CC}">
              <c16:uniqueId val="{00000087-EB5C-4EB4-9A62-8C6E2E94A677}"/>
            </c:ext>
          </c:extLst>
        </c:ser>
        <c:ser>
          <c:idx val="1"/>
          <c:order val="1"/>
          <c:tx>
            <c:strRef>
              <c:f>aging_distribution!$C$3:$C$4</c:f>
              <c:strCache>
                <c:ptCount val="1"/>
                <c:pt idx="0">
                  <c:v>1-30</c:v>
                </c:pt>
              </c:strCache>
            </c:strRef>
          </c:tx>
          <c:spPr>
            <a:solidFill>
              <a:srgbClr val="92D05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aging_distribution!$C$5:$C$26</c:f>
              <c:numCache>
                <c:formatCode>"€"\ #,##0.00</c:formatCode>
                <c:ptCount val="19"/>
                <c:pt idx="11">
                  <c:v>149106.4</c:v>
                </c:pt>
                <c:pt idx="12">
                  <c:v>28520.19</c:v>
                </c:pt>
              </c:numCache>
            </c:numRef>
          </c:val>
          <c:extLst>
            <c:ext xmlns:c16="http://schemas.microsoft.com/office/drawing/2014/chart" uri="{C3380CC4-5D6E-409C-BE32-E72D297353CC}">
              <c16:uniqueId val="{00000094-EB5C-4EB4-9A62-8C6E2E94A677}"/>
            </c:ext>
          </c:extLst>
        </c:ser>
        <c:ser>
          <c:idx val="2"/>
          <c:order val="2"/>
          <c:tx>
            <c:strRef>
              <c:f>aging_distribution!$D$3:$D$4</c:f>
              <c:strCache>
                <c:ptCount val="1"/>
                <c:pt idx="0">
                  <c:v>31-60</c:v>
                </c:pt>
              </c:strCache>
            </c:strRef>
          </c:tx>
          <c:spPr>
            <a:solidFill>
              <a:srgbClr val="FFFF0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aging_distribution!$D$5:$D$26</c:f>
              <c:numCache>
                <c:formatCode>"€"\ #,##0.00</c:formatCode>
                <c:ptCount val="19"/>
                <c:pt idx="9">
                  <c:v>61691.45</c:v>
                </c:pt>
                <c:pt idx="10">
                  <c:v>210508.24</c:v>
                </c:pt>
              </c:numCache>
            </c:numRef>
          </c:val>
          <c:extLst>
            <c:ext xmlns:c16="http://schemas.microsoft.com/office/drawing/2014/chart" uri="{C3380CC4-5D6E-409C-BE32-E72D297353CC}">
              <c16:uniqueId val="{00000095-EB5C-4EB4-9A62-8C6E2E94A677}"/>
            </c:ext>
          </c:extLst>
        </c:ser>
        <c:ser>
          <c:idx val="3"/>
          <c:order val="3"/>
          <c:tx>
            <c:strRef>
              <c:f>aging_distribution!$E$3:$E$4</c:f>
              <c:strCache>
                <c:ptCount val="1"/>
                <c:pt idx="0">
                  <c:v>61-90</c:v>
                </c:pt>
              </c:strCache>
            </c:strRef>
          </c:tx>
          <c:spPr>
            <a:solidFill>
              <a:schemeClr val="accent6">
                <a:lumMod val="75000"/>
              </a:schemeClr>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aging_distribution!$E$5:$E$26</c:f>
              <c:numCache>
                <c:formatCode>"€"\ #,##0.00</c:formatCode>
                <c:ptCount val="19"/>
                <c:pt idx="8">
                  <c:v>152864.54</c:v>
                </c:pt>
                <c:pt idx="9">
                  <c:v>87017.77</c:v>
                </c:pt>
              </c:numCache>
            </c:numRef>
          </c:val>
          <c:extLst>
            <c:ext xmlns:c16="http://schemas.microsoft.com/office/drawing/2014/chart" uri="{C3380CC4-5D6E-409C-BE32-E72D297353CC}">
              <c16:uniqueId val="{00000096-EB5C-4EB4-9A62-8C6E2E94A677}"/>
            </c:ext>
          </c:extLst>
        </c:ser>
        <c:ser>
          <c:idx val="4"/>
          <c:order val="4"/>
          <c:tx>
            <c:strRef>
              <c:f>aging_distribution!$F$3:$F$4</c:f>
              <c:strCache>
                <c:ptCount val="1"/>
                <c:pt idx="0">
                  <c:v>&gt;90</c:v>
                </c:pt>
              </c:strCache>
            </c:strRef>
          </c:tx>
          <c:spPr>
            <a:solidFill>
              <a:srgbClr val="C00000"/>
            </a:solidFill>
            <a:ln>
              <a:noFill/>
            </a:ln>
            <a:effectLst/>
          </c:spPr>
          <c:invertIfNegative val="0"/>
          <c:cat>
            <c:multiLvlStrRef>
              <c:f>aging_distribution!$A$5:$A$26</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2025</c:v>
                  </c:pt>
                  <c:pt idx="11">
                    <c:v>2026</c:v>
                  </c:pt>
                </c:lvl>
              </c:multiLvlStrCache>
            </c:multiLvlStrRef>
          </c:cat>
          <c:val>
            <c:numRef>
              <c:f>aging_distribution!$F$5:$F$26</c:f>
              <c:numCache>
                <c:formatCode>"€"\ #,##0.00</c:formatCode>
                <c:ptCount val="19"/>
                <c:pt idx="0">
                  <c:v>110125.45</c:v>
                </c:pt>
                <c:pt idx="1">
                  <c:v>175533.31</c:v>
                </c:pt>
                <c:pt idx="2">
                  <c:v>160653.09</c:v>
                </c:pt>
                <c:pt idx="3">
                  <c:v>148855.23000000001</c:v>
                </c:pt>
                <c:pt idx="4">
                  <c:v>118840.42</c:v>
                </c:pt>
                <c:pt idx="5">
                  <c:v>145676.38</c:v>
                </c:pt>
                <c:pt idx="6">
                  <c:v>157209.32</c:v>
                </c:pt>
                <c:pt idx="7">
                  <c:v>167585.01</c:v>
                </c:pt>
                <c:pt idx="8">
                  <c:v>27676.240000000002</c:v>
                </c:pt>
              </c:numCache>
            </c:numRef>
          </c:val>
          <c:extLst>
            <c:ext xmlns:c16="http://schemas.microsoft.com/office/drawing/2014/chart" uri="{C3380CC4-5D6E-409C-BE32-E72D297353CC}">
              <c16:uniqueId val="{00000097-EB5C-4EB4-9A62-8C6E2E94A677}"/>
            </c:ext>
          </c:extLst>
        </c:ser>
        <c:dLbls>
          <c:showLegendKey val="0"/>
          <c:showVal val="0"/>
          <c:showCatName val="0"/>
          <c:showSerName val="0"/>
          <c:showPercent val="0"/>
          <c:showBubbleSize val="0"/>
        </c:dLbls>
        <c:gapWidth val="150"/>
        <c:overlap val="100"/>
        <c:axId val="79838880"/>
        <c:axId val="79838400"/>
      </c:barChart>
      <c:catAx>
        <c:axId val="7983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9838400"/>
        <c:crosses val="autoZero"/>
        <c:auto val="1"/>
        <c:lblAlgn val="ctr"/>
        <c:lblOffset val="100"/>
        <c:noMultiLvlLbl val="0"/>
      </c:catAx>
      <c:valAx>
        <c:axId val="7983840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983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[Accounts-Receivable.xlsx]AR_aging!PivotTable13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 Aging</a:t>
            </a:r>
            <a:r>
              <a:rPr lang="en-GB" baseline="0"/>
              <a:t> by Customer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AR_aging!$B$3:$B$4</c:f>
              <c:strCache>
                <c:ptCount val="1"/>
                <c:pt idx="0">
                  <c:v>Not due</c:v>
                </c:pt>
              </c:strCache>
            </c:strRef>
          </c:tx>
          <c:spPr>
            <a:solidFill>
              <a:srgbClr val="00B05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AR_aging!$B$5:$B$10</c:f>
              <c:numCache>
                <c:formatCode>"€"\ #,##0.00</c:formatCode>
                <c:ptCount val="5"/>
                <c:pt idx="0">
                  <c:v>100647.2</c:v>
                </c:pt>
                <c:pt idx="1">
                  <c:v>77904.22</c:v>
                </c:pt>
                <c:pt idx="2">
                  <c:v>86101.77</c:v>
                </c:pt>
                <c:pt idx="3">
                  <c:v>125615.3</c:v>
                </c:pt>
                <c:pt idx="4">
                  <c:v>93594.2</c:v>
                </c:pt>
              </c:numCache>
            </c:numRef>
          </c:val>
          <c:extLst>
            <c:ext xmlns:c16="http://schemas.microsoft.com/office/drawing/2014/chart" uri="{C3380CC4-5D6E-409C-BE32-E72D297353CC}">
              <c16:uniqueId val="{00000030-A1AA-47DE-AC90-ED2ED146E7AC}"/>
            </c:ext>
          </c:extLst>
        </c:ser>
        <c:ser>
          <c:idx val="1"/>
          <c:order val="1"/>
          <c:tx>
            <c:strRef>
              <c:f>AR_aging!$C$3:$C$4</c:f>
              <c:strCache>
                <c:ptCount val="1"/>
                <c:pt idx="0">
                  <c:v>1-30</c:v>
                </c:pt>
              </c:strCache>
            </c:strRef>
          </c:tx>
          <c:spPr>
            <a:solidFill>
              <a:srgbClr val="92D05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AR_aging!$C$5:$C$10</c:f>
              <c:numCache>
                <c:formatCode>"€"\ #,##0.00</c:formatCode>
                <c:ptCount val="5"/>
                <c:pt idx="0">
                  <c:v>28146.48</c:v>
                </c:pt>
                <c:pt idx="1">
                  <c:v>43900.59</c:v>
                </c:pt>
                <c:pt idx="2">
                  <c:v>27348.13</c:v>
                </c:pt>
                <c:pt idx="3">
                  <c:v>36288.6</c:v>
                </c:pt>
                <c:pt idx="4">
                  <c:v>41942.79</c:v>
                </c:pt>
              </c:numCache>
            </c:numRef>
          </c:val>
          <c:extLst>
            <c:ext xmlns:c16="http://schemas.microsoft.com/office/drawing/2014/chart" uri="{C3380CC4-5D6E-409C-BE32-E72D297353CC}">
              <c16:uniqueId val="{0000003D-A1AA-47DE-AC90-ED2ED146E7AC}"/>
            </c:ext>
          </c:extLst>
        </c:ser>
        <c:ser>
          <c:idx val="2"/>
          <c:order val="2"/>
          <c:tx>
            <c:strRef>
              <c:f>AR_aging!$D$3:$D$4</c:f>
              <c:strCache>
                <c:ptCount val="1"/>
                <c:pt idx="0">
                  <c:v>31-60</c:v>
                </c:pt>
              </c:strCache>
            </c:strRef>
          </c:tx>
          <c:spPr>
            <a:solidFill>
              <a:srgbClr val="FFFF0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AR_aging!$D$5:$D$10</c:f>
              <c:numCache>
                <c:formatCode>"€"\ #,##0.00</c:formatCode>
                <c:ptCount val="5"/>
                <c:pt idx="0">
                  <c:v>50265.36</c:v>
                </c:pt>
                <c:pt idx="1">
                  <c:v>65848.009999999995</c:v>
                </c:pt>
                <c:pt idx="2">
                  <c:v>42425.29</c:v>
                </c:pt>
                <c:pt idx="3">
                  <c:v>51317.29</c:v>
                </c:pt>
                <c:pt idx="4">
                  <c:v>62343.74</c:v>
                </c:pt>
              </c:numCache>
            </c:numRef>
          </c:val>
          <c:extLst>
            <c:ext xmlns:c16="http://schemas.microsoft.com/office/drawing/2014/chart" uri="{C3380CC4-5D6E-409C-BE32-E72D297353CC}">
              <c16:uniqueId val="{0000003E-A1AA-47DE-AC90-ED2ED146E7AC}"/>
            </c:ext>
          </c:extLst>
        </c:ser>
        <c:ser>
          <c:idx val="3"/>
          <c:order val="3"/>
          <c:tx>
            <c:strRef>
              <c:f>AR_aging!$E$3:$E$4</c:f>
              <c:strCache>
                <c:ptCount val="1"/>
                <c:pt idx="0">
                  <c:v>61-90</c:v>
                </c:pt>
              </c:strCache>
            </c:strRef>
          </c:tx>
          <c:spPr>
            <a:solidFill>
              <a:schemeClr val="accent6">
                <a:lumMod val="75000"/>
              </a:schemeClr>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AR_aging!$E$5:$E$10</c:f>
              <c:numCache>
                <c:formatCode>"€"\ #,##0.00</c:formatCode>
                <c:ptCount val="5"/>
                <c:pt idx="0">
                  <c:v>47405.87</c:v>
                </c:pt>
                <c:pt idx="1">
                  <c:v>35104.129999999997</c:v>
                </c:pt>
                <c:pt idx="2">
                  <c:v>29447.38</c:v>
                </c:pt>
                <c:pt idx="3">
                  <c:v>66359.64</c:v>
                </c:pt>
                <c:pt idx="4">
                  <c:v>61565.29</c:v>
                </c:pt>
              </c:numCache>
            </c:numRef>
          </c:val>
          <c:extLst>
            <c:ext xmlns:c16="http://schemas.microsoft.com/office/drawing/2014/chart" uri="{C3380CC4-5D6E-409C-BE32-E72D297353CC}">
              <c16:uniqueId val="{0000003F-A1AA-47DE-AC90-ED2ED146E7AC}"/>
            </c:ext>
          </c:extLst>
        </c:ser>
        <c:ser>
          <c:idx val="4"/>
          <c:order val="4"/>
          <c:tx>
            <c:strRef>
              <c:f>AR_aging!$F$3:$F$4</c:f>
              <c:strCache>
                <c:ptCount val="1"/>
                <c:pt idx="0">
                  <c:v>&gt;90</c:v>
                </c:pt>
              </c:strCache>
            </c:strRef>
          </c:tx>
          <c:spPr>
            <a:solidFill>
              <a:srgbClr val="C00000"/>
            </a:solidFill>
            <a:ln>
              <a:noFill/>
            </a:ln>
            <a:effectLst/>
          </c:spPr>
          <c:invertIfNegative val="0"/>
          <c:cat>
            <c:strRef>
              <c:f>AR_aging!$A$5:$A$10</c:f>
              <c:strCache>
                <c:ptCount val="5"/>
                <c:pt idx="0">
                  <c:v>Acme</c:v>
                </c:pt>
                <c:pt idx="1">
                  <c:v>Globex</c:v>
                </c:pt>
                <c:pt idx="2">
                  <c:v>Initech</c:v>
                </c:pt>
                <c:pt idx="3">
                  <c:v>Soylent</c:v>
                </c:pt>
                <c:pt idx="4">
                  <c:v>Umbrella</c:v>
                </c:pt>
              </c:strCache>
            </c:strRef>
          </c:cat>
          <c:val>
            <c:numRef>
              <c:f>AR_aging!$F$5:$F$10</c:f>
              <c:numCache>
                <c:formatCode>"€"\ #,##0.00</c:formatCode>
                <c:ptCount val="5"/>
                <c:pt idx="0">
                  <c:v>219120.39</c:v>
                </c:pt>
                <c:pt idx="1">
                  <c:v>287289.64</c:v>
                </c:pt>
                <c:pt idx="2">
                  <c:v>271689.89</c:v>
                </c:pt>
                <c:pt idx="3">
                  <c:v>246343.92</c:v>
                </c:pt>
                <c:pt idx="4">
                  <c:v>187710.61</c:v>
                </c:pt>
              </c:numCache>
            </c:numRef>
          </c:val>
          <c:extLst>
            <c:ext xmlns:c16="http://schemas.microsoft.com/office/drawing/2014/chart" uri="{C3380CC4-5D6E-409C-BE32-E72D297353CC}">
              <c16:uniqueId val="{00000040-A1AA-47DE-AC90-ED2ED146E7AC}"/>
            </c:ext>
          </c:extLst>
        </c:ser>
        <c:dLbls>
          <c:showLegendKey val="0"/>
          <c:showVal val="0"/>
          <c:showCatName val="0"/>
          <c:showSerName val="0"/>
          <c:showPercent val="0"/>
          <c:showBubbleSize val="0"/>
        </c:dLbls>
        <c:gapWidth val="150"/>
        <c:overlap val="100"/>
        <c:axId val="1261808432"/>
        <c:axId val="1261814192"/>
      </c:barChart>
      <c:catAx>
        <c:axId val="126180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61814192"/>
        <c:crosses val="autoZero"/>
        <c:auto val="1"/>
        <c:lblAlgn val="ctr"/>
        <c:lblOffset val="100"/>
        <c:noMultiLvlLbl val="0"/>
      </c:catAx>
      <c:valAx>
        <c:axId val="12618141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618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1730827</xdr:colOff>
      <xdr:row>5</xdr:row>
      <xdr:rowOff>146503</xdr:rowOff>
    </xdr:from>
    <xdr:to>
      <xdr:col>6</xdr:col>
      <xdr:colOff>-1</xdr:colOff>
      <xdr:row>11</xdr:row>
      <xdr:rowOff>174172</xdr:rowOff>
    </xdr:to>
    <xdr:sp macro="" textlink="monthly!B25">
      <xdr:nvSpPr>
        <xdr:cNvPr id="16" name="Rectangle: Rounded Corners 15">
          <a:extLst>
            <a:ext uri="{FF2B5EF4-FFF2-40B4-BE49-F238E27FC236}">
              <a16:creationId xmlns:a16="http://schemas.microsoft.com/office/drawing/2014/main" id="{F0B1D957-C03B-0585-A800-406A85C27E49}"/>
            </a:ext>
          </a:extLst>
        </xdr:cNvPr>
        <xdr:cNvSpPr/>
      </xdr:nvSpPr>
      <xdr:spPr>
        <a:xfrm>
          <a:off x="2340427" y="1071789"/>
          <a:ext cx="3842658" cy="1421040"/>
        </a:xfrm>
        <a:prstGeom prst="roundRect">
          <a:avLst/>
        </a:prstGeom>
        <a:solidFill>
          <a:schemeClr val="accent3">
            <a:lumMod val="60000"/>
            <a:lumOff val="40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i="0" u="none" strike="noStrike">
            <a:solidFill>
              <a:srgbClr val="000000"/>
            </a:solidFill>
            <a:effectLst/>
            <a:latin typeface="Calibri"/>
            <a:ea typeface="Calibri"/>
            <a:cs typeface="Calibri"/>
          </a:endParaRPr>
        </a:p>
        <a:p>
          <a:pPr algn="ctr"/>
          <a:fld id="{536249C1-519A-4860-B832-3950B363BD70}" type="TxLink">
            <a:rPr lang="en-US" sz="2800" b="1" i="0" u="none" strike="noStrike">
              <a:solidFill>
                <a:srgbClr val="000000"/>
              </a:solidFill>
              <a:effectLst/>
              <a:latin typeface="Calibri"/>
              <a:ea typeface="Calibri"/>
              <a:cs typeface="Calibri"/>
            </a:rPr>
            <a:t>€ 2.385.725,73</a:t>
          </a:fld>
          <a:endParaRPr lang="en-GB" sz="2800" b="1">
            <a:solidFill>
              <a:schemeClr val="bg1"/>
            </a:solidFill>
            <a:effectLst/>
          </a:endParaRPr>
        </a:p>
      </xdr:txBody>
    </xdr:sp>
    <xdr:clientData/>
  </xdr:twoCellAnchor>
  <xdr:twoCellAnchor>
    <xdr:from>
      <xdr:col>11</xdr:col>
      <xdr:colOff>44903</xdr:colOff>
      <xdr:row>13</xdr:row>
      <xdr:rowOff>2179</xdr:rowOff>
    </xdr:from>
    <xdr:to>
      <xdr:col>23</xdr:col>
      <xdr:colOff>21771</xdr:colOff>
      <xdr:row>32</xdr:row>
      <xdr:rowOff>151041</xdr:rowOff>
    </xdr:to>
    <xdr:graphicFrame macro="">
      <xdr:nvGraphicFramePr>
        <xdr:cNvPr id="7" name="Chart 6">
          <a:extLst>
            <a:ext uri="{FF2B5EF4-FFF2-40B4-BE49-F238E27FC236}">
              <a16:creationId xmlns:a16="http://schemas.microsoft.com/office/drawing/2014/main" id="{383CDDD6-700C-4780-933A-856EC5A58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31296</xdr:colOff>
      <xdr:row>13</xdr:row>
      <xdr:rowOff>2179</xdr:rowOff>
    </xdr:from>
    <xdr:to>
      <xdr:col>10</xdr:col>
      <xdr:colOff>530951</xdr:colOff>
      <xdr:row>32</xdr:row>
      <xdr:rowOff>151041</xdr:rowOff>
    </xdr:to>
    <xdr:graphicFrame macro="">
      <xdr:nvGraphicFramePr>
        <xdr:cNvPr id="8" name="Chart 7">
          <a:extLst>
            <a:ext uri="{FF2B5EF4-FFF2-40B4-BE49-F238E27FC236}">
              <a16:creationId xmlns:a16="http://schemas.microsoft.com/office/drawing/2014/main" id="{81B7513D-B0F9-4A8D-906F-8E26CC0E2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371474</xdr:colOff>
      <xdr:row>13</xdr:row>
      <xdr:rowOff>7896</xdr:rowOff>
    </xdr:from>
    <xdr:to>
      <xdr:col>1</xdr:col>
      <xdr:colOff>1790699</xdr:colOff>
      <xdr:row>22</xdr:row>
      <xdr:rowOff>143422</xdr:rowOff>
    </xdr:to>
    <mc:AlternateContent xmlns:mc="http://schemas.openxmlformats.org/markup-compatibility/2006">
      <mc:Choice xmlns:a14="http://schemas.microsoft.com/office/drawing/2010/main" Requires="a14">
        <xdr:graphicFrame macro="">
          <xdr:nvGraphicFramePr>
            <xdr:cNvPr id="9" name="customer 1">
              <a:extLst>
                <a:ext uri="{FF2B5EF4-FFF2-40B4-BE49-F238E27FC236}">
                  <a16:creationId xmlns:a16="http://schemas.microsoft.com/office/drawing/2014/main" id="{49D8225D-8F4B-48C8-925F-9B73D9727705}"/>
                </a:ext>
              </a:extLst>
            </xdr:cNvPr>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dr:sp macro="" textlink="">
          <xdr:nvSpPr>
            <xdr:cNvPr id="0" name=""/>
            <xdr:cNvSpPr>
              <a:spLocks noTextEdit="1"/>
            </xdr:cNvSpPr>
          </xdr:nvSpPr>
          <xdr:spPr>
            <a:xfrm>
              <a:off x="371474" y="2696667"/>
              <a:ext cx="2028825" cy="1801041"/>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23</xdr:row>
      <xdr:rowOff>49805</xdr:rowOff>
    </xdr:from>
    <xdr:to>
      <xdr:col>1</xdr:col>
      <xdr:colOff>1800225</xdr:colOff>
      <xdr:row>32</xdr:row>
      <xdr:rowOff>147232</xdr:rowOff>
    </xdr:to>
    <mc:AlternateContent xmlns:mc="http://schemas.openxmlformats.org/markup-compatibility/2006">
      <mc:Choice xmlns:a14="http://schemas.microsoft.com/office/drawing/2010/main" Requires="a14">
        <xdr:graphicFrame macro="">
          <xdr:nvGraphicFramePr>
            <xdr:cNvPr id="10" name="aging_category 1">
              <a:extLst>
                <a:ext uri="{FF2B5EF4-FFF2-40B4-BE49-F238E27FC236}">
                  <a16:creationId xmlns:a16="http://schemas.microsoft.com/office/drawing/2014/main" id="{16CA3635-E053-4686-B1B3-5308D7E6AD80}"/>
                </a:ext>
              </a:extLst>
            </xdr:cNvPr>
            <xdr:cNvGraphicFramePr/>
          </xdr:nvGraphicFramePr>
          <xdr:xfrm>
            <a:off x="0" y="0"/>
            <a:ext cx="0" cy="0"/>
          </xdr:xfrm>
          <a:graphic>
            <a:graphicData uri="http://schemas.microsoft.com/office/drawing/2010/slicer">
              <sle:slicer xmlns:sle="http://schemas.microsoft.com/office/drawing/2010/slicer" name="aging_category 1"/>
            </a:graphicData>
          </a:graphic>
        </xdr:graphicFrame>
      </mc:Choice>
      <mc:Fallback>
        <xdr:sp macro="" textlink="">
          <xdr:nvSpPr>
            <xdr:cNvPr id="0" name=""/>
            <xdr:cNvSpPr>
              <a:spLocks noTextEdit="1"/>
            </xdr:cNvSpPr>
          </xdr:nvSpPr>
          <xdr:spPr>
            <a:xfrm>
              <a:off x="361950" y="4589148"/>
              <a:ext cx="2047875" cy="1762941"/>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555171</xdr:colOff>
      <xdr:row>5</xdr:row>
      <xdr:rowOff>134711</xdr:rowOff>
    </xdr:from>
    <xdr:to>
      <xdr:col>23</xdr:col>
      <xdr:colOff>1</xdr:colOff>
      <xdr:row>11</xdr:row>
      <xdr:rowOff>132897</xdr:rowOff>
    </xdr:to>
    <mc:AlternateContent xmlns:mc="http://schemas.openxmlformats.org/markup-compatibility/2006">
      <mc:Choice xmlns:tsle="http://schemas.microsoft.com/office/drawing/2012/timeslicer" Requires="tsle">
        <xdr:graphicFrame macro="">
          <xdr:nvGraphicFramePr>
            <xdr:cNvPr id="12" name="due_date 1">
              <a:extLst>
                <a:ext uri="{FF2B5EF4-FFF2-40B4-BE49-F238E27FC236}">
                  <a16:creationId xmlns:a16="http://schemas.microsoft.com/office/drawing/2014/main" id="{3FDF3164-23CF-4419-8993-CA31B59860F2}"/>
                </a:ext>
              </a:extLst>
            </xdr:cNvPr>
            <xdr:cNvGraphicFramePr/>
          </xdr:nvGraphicFramePr>
          <xdr:xfrm>
            <a:off x="0" y="0"/>
            <a:ext cx="0" cy="0"/>
          </xdr:xfrm>
          <a:graphic>
            <a:graphicData uri="http://schemas.microsoft.com/office/drawing/2012/timeslicer">
              <tsle:timeslicer xmlns:tsle="http://schemas.microsoft.com/office/drawing/2012/timeslicer" name="due_date 1"/>
            </a:graphicData>
          </a:graphic>
        </xdr:graphicFrame>
      </mc:Choice>
      <mc:Fallback>
        <xdr:sp macro="" textlink="">
          <xdr:nvSpPr>
            <xdr:cNvPr id="0" name=""/>
            <xdr:cNvSpPr>
              <a:spLocks noTextEdit="1"/>
            </xdr:cNvSpPr>
          </xdr:nvSpPr>
          <xdr:spPr>
            <a:xfrm>
              <a:off x="7347857" y="1059997"/>
              <a:ext cx="11952515" cy="1391557"/>
            </a:xfrm>
            <a:prstGeom prst="rect">
              <a:avLst/>
            </a:prstGeom>
            <a:solidFill>
              <a:prstClr val="white"/>
            </a:solidFill>
            <a:ln w="1">
              <a:solidFill>
                <a:prstClr val="green"/>
              </a:solidFill>
            </a:ln>
          </xdr:spPr>
          <xdr:txBody>
            <a:bodyPr vertOverflow="clip" horzOverflow="clip"/>
            <a:lstStyle/>
            <a:p>
              <a:r>
                <a:rPr lang="en-NL" sz="1100"/>
                <a:t>Timeline: Works in Excel 2013 or higher. Do not move or resize.</a:t>
              </a:r>
            </a:p>
          </xdr:txBody>
        </xdr:sp>
      </mc:Fallback>
    </mc:AlternateContent>
    <xdr:clientData/>
  </xdr:twoCellAnchor>
  <xdr:twoCellAnchor>
    <xdr:from>
      <xdr:col>2</xdr:col>
      <xdr:colOff>108857</xdr:colOff>
      <xdr:row>6</xdr:row>
      <xdr:rowOff>119743</xdr:rowOff>
    </xdr:from>
    <xdr:to>
      <xdr:col>5</xdr:col>
      <xdr:colOff>446314</xdr:colOff>
      <xdr:row>8</xdr:row>
      <xdr:rowOff>152400</xdr:rowOff>
    </xdr:to>
    <xdr:sp macro="" textlink="">
      <xdr:nvSpPr>
        <xdr:cNvPr id="20" name="Rectangle 19">
          <a:extLst>
            <a:ext uri="{FF2B5EF4-FFF2-40B4-BE49-F238E27FC236}">
              <a16:creationId xmlns:a16="http://schemas.microsoft.com/office/drawing/2014/main" id="{072BA57D-A658-DEA2-93DC-EFF9ABA6FC28}"/>
            </a:ext>
          </a:extLst>
        </xdr:cNvPr>
        <xdr:cNvSpPr/>
      </xdr:nvSpPr>
      <xdr:spPr>
        <a:xfrm>
          <a:off x="2590800" y="1230086"/>
          <a:ext cx="3429000" cy="402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0" i="0">
              <a:solidFill>
                <a:sysClr val="windowText" lastClr="000000"/>
              </a:solidFill>
              <a:effectLst/>
              <a:latin typeface="+mn-lt"/>
              <a:ea typeface="+mn-ea"/>
              <a:cs typeface="+mn-cs"/>
            </a:rPr>
            <a:t>Outstanding Amount</a:t>
          </a:r>
          <a:r>
            <a:rPr lang="en-GB" sz="2000">
              <a:solidFill>
                <a:sysClr val="windowText" lastClr="000000"/>
              </a:solidFill>
              <a:effectLst/>
              <a:latin typeface="+mn-lt"/>
              <a:ea typeface="+mn-ea"/>
              <a:cs typeface="+mn-cs"/>
            </a:rPr>
            <a:t> </a:t>
          </a:r>
          <a:endParaRPr lang="en-NL" sz="2000">
            <a:solidFill>
              <a:sysClr val="windowText" lastClr="000000"/>
            </a:solidFill>
            <a:effectLst/>
          </a:endParaRPr>
        </a:p>
        <a:p>
          <a:pPr algn="ctr"/>
          <a:endParaRPr lang="en-NL" sz="2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27</xdr:row>
      <xdr:rowOff>0</xdr:rowOff>
    </xdr:from>
    <xdr:to>
      <xdr:col>6</xdr:col>
      <xdr:colOff>838200</xdr:colOff>
      <xdr:row>45</xdr:row>
      <xdr:rowOff>0</xdr:rowOff>
    </xdr:to>
    <xdr:graphicFrame macro="">
      <xdr:nvGraphicFramePr>
        <xdr:cNvPr id="2" name="Chart 1">
          <a:extLst>
            <a:ext uri="{FF2B5EF4-FFF2-40B4-BE49-F238E27FC236}">
              <a16:creationId xmlns:a16="http://schemas.microsoft.com/office/drawing/2014/main" id="{C5D3C558-C75A-68ED-BFC1-EE6420DA2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693420</xdr:colOff>
      <xdr:row>27</xdr:row>
      <xdr:rowOff>121920</xdr:rowOff>
    </xdr:from>
    <xdr:to>
      <xdr:col>13</xdr:col>
      <xdr:colOff>213360</xdr:colOff>
      <xdr:row>35</xdr:row>
      <xdr:rowOff>30480</xdr:rowOff>
    </xdr:to>
    <mc:AlternateContent xmlns:mc="http://schemas.openxmlformats.org/markup-compatibility/2006">
      <mc:Choice xmlns:tsle="http://schemas.microsoft.com/office/drawing/2012/timeslicer" Requires="tsle">
        <xdr:graphicFrame macro="">
          <xdr:nvGraphicFramePr>
            <xdr:cNvPr id="4" name="due_date">
              <a:extLst>
                <a:ext uri="{FF2B5EF4-FFF2-40B4-BE49-F238E27FC236}">
                  <a16:creationId xmlns:a16="http://schemas.microsoft.com/office/drawing/2014/main" id="{32C4346D-8C81-F007-9FDF-9F4A4C435205}"/>
                </a:ext>
              </a:extLst>
            </xdr:cNvPr>
            <xdr:cNvGraphicFramePr/>
          </xdr:nvGraphicFramePr>
          <xdr:xfrm>
            <a:off x="0" y="0"/>
            <a:ext cx="0" cy="0"/>
          </xdr:xfrm>
          <a:graphic>
            <a:graphicData uri="http://schemas.microsoft.com/office/drawing/2012/timeslicer">
              <tsle:timeslicer xmlns:tsle="http://schemas.microsoft.com/office/drawing/2012/timeslicer" name="due_date"/>
            </a:graphicData>
          </a:graphic>
        </xdr:graphicFrame>
      </mc:Choice>
      <mc:Fallback>
        <xdr:sp macro="" textlink="">
          <xdr:nvSpPr>
            <xdr:cNvPr id="0" name=""/>
            <xdr:cNvSpPr>
              <a:spLocks noTextEdit="1"/>
            </xdr:cNvSpPr>
          </xdr:nvSpPr>
          <xdr:spPr>
            <a:xfrm>
              <a:off x="9479280" y="5059680"/>
              <a:ext cx="3337560" cy="1371600"/>
            </a:xfrm>
            <a:prstGeom prst="rect">
              <a:avLst/>
            </a:prstGeom>
            <a:solidFill>
              <a:prstClr val="white"/>
            </a:solidFill>
            <a:ln w="1">
              <a:solidFill>
                <a:prstClr val="green"/>
              </a:solidFill>
            </a:ln>
          </xdr:spPr>
          <xdr:txBody>
            <a:bodyPr vertOverflow="clip" horzOverflow="clip"/>
            <a:lstStyle/>
            <a:p>
              <a:r>
                <a:rPr lang="en-NL"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1226820</xdr:colOff>
      <xdr:row>10</xdr:row>
      <xdr:rowOff>106680</xdr:rowOff>
    </xdr:from>
    <xdr:to>
      <xdr:col>6</xdr:col>
      <xdr:colOff>678180</xdr:colOff>
      <xdr:row>30</xdr:row>
      <xdr:rowOff>30480</xdr:rowOff>
    </xdr:to>
    <xdr:graphicFrame macro="">
      <xdr:nvGraphicFramePr>
        <xdr:cNvPr id="2" name="Chart 1">
          <a:extLst>
            <a:ext uri="{FF2B5EF4-FFF2-40B4-BE49-F238E27FC236}">
              <a16:creationId xmlns:a16="http://schemas.microsoft.com/office/drawing/2014/main" id="{D495AF86-7FAE-FBDA-E59B-B85B94EC6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845820</xdr:colOff>
      <xdr:row>20</xdr:row>
      <xdr:rowOff>106681</xdr:rowOff>
    </xdr:from>
    <xdr:to>
      <xdr:col>9</xdr:col>
      <xdr:colOff>548640</xdr:colOff>
      <xdr:row>30</xdr:row>
      <xdr:rowOff>38101</xdr:rowOff>
    </xdr:to>
    <mc:AlternateContent xmlns:mc="http://schemas.openxmlformats.org/markup-compatibility/2006">
      <mc:Choice xmlns:a14="http://schemas.microsoft.com/office/drawing/2010/main" Requires="a14">
        <xdr:graphicFrame macro="">
          <xdr:nvGraphicFramePr>
            <xdr:cNvPr id="3" name="customer">
              <a:extLst>
                <a:ext uri="{FF2B5EF4-FFF2-40B4-BE49-F238E27FC236}">
                  <a16:creationId xmlns:a16="http://schemas.microsoft.com/office/drawing/2014/main" id="{62B1AFFA-D13F-ACBA-1F03-D93EBFE20014}"/>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6957060" y="3764281"/>
              <a:ext cx="1828800" cy="1760220"/>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845820</xdr:colOff>
      <xdr:row>10</xdr:row>
      <xdr:rowOff>160020</xdr:rowOff>
    </xdr:from>
    <xdr:to>
      <xdr:col>9</xdr:col>
      <xdr:colOff>548640</xdr:colOff>
      <xdr:row>20</xdr:row>
      <xdr:rowOff>53339</xdr:rowOff>
    </xdr:to>
    <mc:AlternateContent xmlns:mc="http://schemas.openxmlformats.org/markup-compatibility/2006">
      <mc:Choice xmlns:a14="http://schemas.microsoft.com/office/drawing/2010/main" Requires="a14">
        <xdr:graphicFrame macro="">
          <xdr:nvGraphicFramePr>
            <xdr:cNvPr id="4" name="aging_category">
              <a:extLst>
                <a:ext uri="{FF2B5EF4-FFF2-40B4-BE49-F238E27FC236}">
                  <a16:creationId xmlns:a16="http://schemas.microsoft.com/office/drawing/2014/main" id="{1115AB27-04B2-771A-973F-FFA593556751}"/>
                </a:ext>
              </a:extLst>
            </xdr:cNvPr>
            <xdr:cNvGraphicFramePr/>
          </xdr:nvGraphicFramePr>
          <xdr:xfrm>
            <a:off x="0" y="0"/>
            <a:ext cx="0" cy="0"/>
          </xdr:xfrm>
          <a:graphic>
            <a:graphicData uri="http://schemas.microsoft.com/office/drawing/2010/slicer">
              <sle:slicer xmlns:sle="http://schemas.microsoft.com/office/drawing/2010/slicer" name="aging_category"/>
            </a:graphicData>
          </a:graphic>
        </xdr:graphicFrame>
      </mc:Choice>
      <mc:Fallback>
        <xdr:sp macro="" textlink="">
          <xdr:nvSpPr>
            <xdr:cNvPr id="0" name=""/>
            <xdr:cNvSpPr>
              <a:spLocks noTextEdit="1"/>
            </xdr:cNvSpPr>
          </xdr:nvSpPr>
          <xdr:spPr>
            <a:xfrm>
              <a:off x="6957060" y="1988820"/>
              <a:ext cx="1828800" cy="1722119"/>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rina Asri" refreshedDate="46064.744681597222" backgroundQuery="1" createdVersion="8" refreshedVersion="8" minRefreshableVersion="3" recordCount="0" supportSubquery="1" supportAdvancedDrill="1" xr:uid="{EDD2238A-93A9-4D2B-93FE-0C205980EDBA}">
  <cacheSource type="external" connectionId="1"/>
  <cacheFields count="4">
    <cacheField name="[Measures].[Sum of outstanding_amount]" caption="Sum of outstanding_amount" numFmtId="0" hierarchy="17" level="32767"/>
    <cacheField name="[AR_table 1].[aging_category].[aging_category]" caption="aging_category" numFmtId="0" hierarchy="6" level="1">
      <sharedItems count="5">
        <s v="&gt;90"/>
        <s v="1-30"/>
        <s v="31-60"/>
        <s v="61-90"/>
        <s v="Not due"/>
      </sharedItems>
    </cacheField>
    <cacheField name="[AR_table 1].[due_date (Month)].[due_date (Month)]" caption="due_date (Month)" numFmtId="0" hierarchy="10" level="1">
      <sharedItems count="12">
        <s v="Feb"/>
        <s v="Mar"/>
        <s v="Apr"/>
        <s v="May"/>
        <s v="Jun"/>
        <s v="Jul"/>
        <s v="Aug"/>
        <s v="Sep"/>
        <s v="Oct"/>
        <s v="Nov"/>
        <s v="Dec"/>
        <s v="Jan"/>
      </sharedItems>
    </cacheField>
    <cacheField name="[AR_table 1].[due_date (Year)].[due_date (Year)]" caption="due_date (Year)" numFmtId="0" hierarchy="11" level="1">
      <sharedItems count="2">
        <s v="2025"/>
        <s v="2026"/>
      </sharedItems>
    </cacheField>
  </cacheFields>
  <cacheHierarchies count="18">
    <cacheHierarchy uniqueName="[AR_table 1].[ar_id]" caption="ar_id" attribute="1" defaultMemberUniqueName="[AR_table 1].[ar_id].[All]" allUniqueName="[AR_table 1].[ar_id].[All]" dimensionUniqueName="[AR_table 1]" displayFolder="" count="2" memberValueDatatype="130" unbalanced="0"/>
    <cacheHierarchy uniqueName="[AR_table 1].[customer]" caption="customer" attribute="1" defaultMemberUniqueName="[AR_table 1].[customer].[All]" allUniqueName="[AR_table 1].[customer].[All]" dimensionUniqueName="[AR_table 1]" displayFolder="" count="2" memberValueDatatype="130" unbalanced="0"/>
    <cacheHierarchy uniqueName="[AR_table 1].[invoice_date]" caption="invoice_date" attribute="1" time="1" defaultMemberUniqueName="[AR_table 1].[invoice_date].[All]" allUniqueName="[AR_table 1].[invoice_date].[All]" dimensionUniqueName="[AR_table 1]" displayFolder="" count="2" memberValueDatatype="7" unbalanced="0"/>
    <cacheHierarchy uniqueName="[AR_table 1].[due_date]" caption="due_date" attribute="1" time="1" defaultMemberUniqueName="[AR_table 1].[due_date].[All]" allUniqueName="[AR_table 1].[due_date].[All]" dimensionUniqueName="[AR_table 1]" displayFolder="" count="2" memberValueDatatype="7" unbalanced="0"/>
    <cacheHierarchy uniqueName="[AR_table 1].[outstanding_amount]" caption="outstanding_amount" attribute="1" defaultMemberUniqueName="[AR_table 1].[outstanding_amount].[All]" allUniqueName="[AR_table 1].[outstanding_amount].[All]" dimensionUniqueName="[AR_table 1]" displayFolder="" count="2" memberValueDatatype="5" unbalanced="0"/>
    <cacheHierarchy uniqueName="[AR_table 1].[past_due_days]" caption="past_due_days" attribute="1" defaultMemberUniqueName="[AR_table 1].[past_due_days].[All]" allUniqueName="[AR_table 1].[past_due_days].[All]" dimensionUniqueName="[AR_table 1]" displayFolder="" count="2" memberValueDatatype="20" unbalanced="0"/>
    <cacheHierarchy uniqueName="[AR_table 1].[aging_category]" caption="aging_category" attribute="1" defaultMemberUniqueName="[AR_table 1].[aging_category].[All]" allUniqueName="[AR_table 1].[aging_category].[All]" dimensionUniqueName="[AR_table 1]" displayFolder="" count="2" memberValueDatatype="130" unbalanced="0">
      <fieldsUsage count="2">
        <fieldUsage x="-1"/>
        <fieldUsage x="1"/>
      </fieldsUsage>
    </cacheHierarchy>
    <cacheHierarchy uniqueName="[AR_table 1].[invoice_date (Year)]" caption="invoice_date (Year)" attribute="1" defaultMemberUniqueName="[AR_table 1].[invoice_date (Year)].[All]" allUniqueName="[AR_table 1].[invoice_date (Year)].[All]" dimensionUniqueName="[AR_table 1]" displayFolder="" count="2" memberValueDatatype="130" unbalanced="0"/>
    <cacheHierarchy uniqueName="[AR_table 1].[invoice_date (Quarter)]" caption="invoice_date (Quarter)" attribute="1" defaultMemberUniqueName="[AR_table 1].[invoice_date (Quarter)].[All]" allUniqueName="[AR_table 1].[invoice_date (Quarter)].[All]" dimensionUniqueName="[AR_table 1]" displayFolder="" count="2" memberValueDatatype="130" unbalanced="0"/>
    <cacheHierarchy uniqueName="[AR_table 1].[invoice_date (Month)]" caption="invoice_date (Month)" attribute="1" defaultMemberUniqueName="[AR_table 1].[invoice_date (Month)].[All]" allUniqueName="[AR_table 1].[invoice_date (Month)].[All]" dimensionUniqueName="[AR_table 1]" displayFolder="" count="2" memberValueDatatype="130" unbalanced="0"/>
    <cacheHierarchy uniqueName="[AR_table 1].[due_date (Month)]" caption="due_date (Month)" attribute="1" defaultMemberUniqueName="[AR_table 1].[due_date (Month)].[All]" allUniqueName="[AR_table 1].[due_date (Month)].[All]" dimensionUniqueName="[AR_table 1]" displayFolder="" count="2" memberValueDatatype="130" unbalanced="0">
      <fieldsUsage count="2">
        <fieldUsage x="-1"/>
        <fieldUsage x="2"/>
      </fieldsUsage>
    </cacheHierarchy>
    <cacheHierarchy uniqueName="[AR_table 1].[due_date (Year)]" caption="due_date (Year)" attribute="1" defaultMemberUniqueName="[AR_table 1].[due_date (Year)].[All]" allUniqueName="[AR_table 1].[due_date (Year)].[All]" dimensionUniqueName="[AR_table 1]" displayFolder="" count="2" memberValueDatatype="130" unbalanced="0">
      <fieldsUsage count="2">
        <fieldUsage x="-1"/>
        <fieldUsage x="3"/>
      </fieldsUsage>
    </cacheHierarchy>
    <cacheHierarchy uniqueName="[AR_table 1].[due_date (Quarter)]" caption="due_date (Quarter)" attribute="1" defaultMemberUniqueName="[AR_table 1].[due_date (Quarter)].[All]" allUniqueName="[AR_table 1].[due_date (Quarter)].[All]" dimensionUniqueName="[AR_table 1]" displayFolder="" count="2" memberValueDatatype="130" unbalanced="0"/>
    <cacheHierarchy uniqueName="[AR_table 1].[due_date (Month Index)]" caption="due_date (Month Index)" attribute="1" defaultMemberUniqueName="[AR_table 1].[due_date (Month Index)].[All]" allUniqueName="[AR_table 1].[due_date (Month Index)].[All]" dimensionUniqueName="[AR_table 1]" displayFolder="" count="2" memberValueDatatype="20" unbalanced="0" hidden="1"/>
    <cacheHierarchy uniqueName="[AR_table 1].[invoice_date (Month Index)]" caption="invoice_date (Month Index)" attribute="1" defaultMemberUniqueName="[AR_table 1].[invoice_date (Month Index)].[All]" allUniqueName="[AR_table 1].[invoice_date (Month Index)].[All]" dimensionUniqueName="[AR_table 1]" displayFolder="" count="2" memberValueDatatype="20" unbalanced="0" hidden="1"/>
    <cacheHierarchy uniqueName="[Measures].[__XL_Count AR_table 1]" caption="__XL_Count AR_table 1" measure="1" displayFolder="" measureGroup="AR_table 1" count="0" hidden="1"/>
    <cacheHierarchy uniqueName="[Measures].[__No measures defined]" caption="__No measures defined" measure="1" displayFolder="" count="0" hidden="1"/>
    <cacheHierarchy uniqueName="[Measures].[Sum of outstanding_amount]" caption="Sum of outstanding_amount" measure="1" displayFolder="" measureGroup="AR_table 1"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name="AR_table 1" uniqueName="[AR_table 1]" caption="AR_table 1"/>
    <dimension measure="1" name="Measures" uniqueName="[Measures]" caption="Measures"/>
  </dimensions>
  <measureGroups count="1">
    <measureGroup name="AR_table 1" caption="AR_table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rina Asri" refreshedDate="46064.744682175929" backgroundQuery="1" createdVersion="8" refreshedVersion="8" minRefreshableVersion="3" recordCount="0" supportSubquery="1" supportAdvancedDrill="1" xr:uid="{49FC8653-A7A1-4476-8C79-28DE0AEC7A8C}">
  <cacheSource type="external" connectionId="1"/>
  <cacheFields count="3">
    <cacheField name="[AR_table 1].[customer].[customer]" caption="customer" numFmtId="0" hierarchy="1" level="1">
      <sharedItems count="5">
        <s v="Acme"/>
        <s v="Globex"/>
        <s v="Initech"/>
        <s v="Soylent"/>
        <s v="Umbrella"/>
      </sharedItems>
    </cacheField>
    <cacheField name="[Measures].[Sum of outstanding_amount]" caption="Sum of outstanding_amount" numFmtId="0" hierarchy="17" level="32767"/>
    <cacheField name="[AR_table 1].[aging_category].[aging_category]" caption="aging_category" numFmtId="0" hierarchy="6" level="1">
      <sharedItems count="5">
        <s v="&gt;90"/>
        <s v="1-30"/>
        <s v="31-60"/>
        <s v="61-90"/>
        <s v="Not due"/>
      </sharedItems>
    </cacheField>
  </cacheFields>
  <cacheHierarchies count="18">
    <cacheHierarchy uniqueName="[AR_table 1].[ar_id]" caption="ar_id" attribute="1" defaultMemberUniqueName="[AR_table 1].[ar_id].[All]" allUniqueName="[AR_table 1].[ar_id].[All]" dimensionUniqueName="[AR_table 1]" displayFolder="" count="0" memberValueDatatype="130" unbalanced="0"/>
    <cacheHierarchy uniqueName="[AR_table 1].[customer]" caption="customer" attribute="1" defaultMemberUniqueName="[AR_table 1].[customer].[All]" allUniqueName="[AR_table 1].[customer].[All]" dimensionUniqueName="[AR_table 1]" displayFolder="" count="2" memberValueDatatype="130" unbalanced="0">
      <fieldsUsage count="2">
        <fieldUsage x="-1"/>
        <fieldUsage x="0"/>
      </fieldsUsage>
    </cacheHierarchy>
    <cacheHierarchy uniqueName="[AR_table 1].[invoice_date]" caption="invoice_date" attribute="1" time="1" defaultMemberUniqueName="[AR_table 1].[invoice_date].[All]" allUniqueName="[AR_table 1].[invoice_date].[All]" dimensionUniqueName="[AR_table 1]" displayFolder="" count="0" memberValueDatatype="7" unbalanced="0"/>
    <cacheHierarchy uniqueName="[AR_table 1].[due_date]" caption="due_date" attribute="1" time="1" defaultMemberUniqueName="[AR_table 1].[due_date].[All]" allUniqueName="[AR_table 1].[due_date].[All]" dimensionUniqueName="[AR_table 1]" displayFolder="" count="2" memberValueDatatype="7" unbalanced="0"/>
    <cacheHierarchy uniqueName="[AR_table 1].[outstanding_amount]" caption="outstanding_amount" attribute="1" defaultMemberUniqueName="[AR_table 1].[outstanding_amount].[All]" allUniqueName="[AR_table 1].[outstanding_amount].[All]" dimensionUniqueName="[AR_table 1]" displayFolder="" count="0" memberValueDatatype="5" unbalanced="0"/>
    <cacheHierarchy uniqueName="[AR_table 1].[past_due_days]" caption="past_due_days" attribute="1" defaultMemberUniqueName="[AR_table 1].[past_due_days].[All]" allUniqueName="[AR_table 1].[past_due_days].[All]" dimensionUniqueName="[AR_table 1]" displayFolder="" count="0" memberValueDatatype="20" unbalanced="0"/>
    <cacheHierarchy uniqueName="[AR_table 1].[aging_category]" caption="aging_category" attribute="1" defaultMemberUniqueName="[AR_table 1].[aging_category].[All]" allUniqueName="[AR_table 1].[aging_category].[All]" dimensionUniqueName="[AR_table 1]" displayFolder="" count="2" memberValueDatatype="130" unbalanced="0">
      <fieldsUsage count="2">
        <fieldUsage x="-1"/>
        <fieldUsage x="2"/>
      </fieldsUsage>
    </cacheHierarchy>
    <cacheHierarchy uniqueName="[AR_table 1].[invoice_date (Year)]" caption="invoice_date (Year)" attribute="1" defaultMemberUniqueName="[AR_table 1].[invoice_date (Year)].[All]" allUniqueName="[AR_table 1].[invoice_date (Year)].[All]" dimensionUniqueName="[AR_table 1]" displayFolder="" count="0" memberValueDatatype="130" unbalanced="0"/>
    <cacheHierarchy uniqueName="[AR_table 1].[invoice_date (Quarter)]" caption="invoice_date (Quarter)" attribute="1" defaultMemberUniqueName="[AR_table 1].[invoice_date (Quarter)].[All]" allUniqueName="[AR_table 1].[invoice_date (Quarter)].[All]" dimensionUniqueName="[AR_table 1]" displayFolder="" count="0" memberValueDatatype="130" unbalanced="0"/>
    <cacheHierarchy uniqueName="[AR_table 1].[invoice_date (Month)]" caption="invoice_date (Month)" attribute="1" defaultMemberUniqueName="[AR_table 1].[invoice_date (Month)].[All]" allUniqueName="[AR_table 1].[invoice_date (Month)].[All]" dimensionUniqueName="[AR_table 1]" displayFolder="" count="0" memberValueDatatype="130" unbalanced="0"/>
    <cacheHierarchy uniqueName="[AR_table 1].[due_date (Month)]" caption="due_date (Month)" attribute="1" defaultMemberUniqueName="[AR_table 1].[due_date (Month)].[All]" allUniqueName="[AR_table 1].[due_date (Month)].[All]" dimensionUniqueName="[AR_table 1]" displayFolder="" count="0" memberValueDatatype="130" unbalanced="0"/>
    <cacheHierarchy uniqueName="[AR_table 1].[due_date (Year)]" caption="due_date (Year)" attribute="1" defaultMemberUniqueName="[AR_table 1].[due_date (Year)].[All]" allUniqueName="[AR_table 1].[due_date (Year)].[All]" dimensionUniqueName="[AR_table 1]" displayFolder="" count="0" memberValueDatatype="130" unbalanced="0"/>
    <cacheHierarchy uniqueName="[AR_table 1].[due_date (Quarter)]" caption="due_date (Quarter)" attribute="1" defaultMemberUniqueName="[AR_table 1].[due_date (Quarter)].[All]" allUniqueName="[AR_table 1].[due_date (Quarter)].[All]" dimensionUniqueName="[AR_table 1]" displayFolder="" count="0" memberValueDatatype="130" unbalanced="0"/>
    <cacheHierarchy uniqueName="[AR_table 1].[due_date (Month Index)]" caption="due_date (Month Index)" attribute="1" defaultMemberUniqueName="[AR_table 1].[due_date (Month Index)].[All]" allUniqueName="[AR_table 1].[due_date (Month Index)].[All]" dimensionUniqueName="[AR_table 1]" displayFolder="" count="0" memberValueDatatype="20" unbalanced="0" hidden="1"/>
    <cacheHierarchy uniqueName="[AR_table 1].[invoice_date (Month Index)]" caption="invoice_date (Month Index)" attribute="1" defaultMemberUniqueName="[AR_table 1].[invoice_date (Month Index)].[All]" allUniqueName="[AR_table 1].[invoice_date (Month Index)].[All]" dimensionUniqueName="[AR_table 1]" displayFolder="" count="0" memberValueDatatype="20" unbalanced="0" hidden="1"/>
    <cacheHierarchy uniqueName="[Measures].[__XL_Count AR_table 1]" caption="__XL_Count AR_table 1" measure="1" displayFolder="" measureGroup="AR_table 1" count="0" hidden="1"/>
    <cacheHierarchy uniqueName="[Measures].[__No measures defined]" caption="__No measures defined" measure="1" displayFolder="" count="0" hidden="1"/>
    <cacheHierarchy uniqueName="[Measures].[Sum of outstanding_amount]" caption="Sum of outstanding_amount" measure="1" displayFolder="" measureGroup="AR_table 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name="AR_table 1" uniqueName="[AR_table 1]" caption="AR_table 1"/>
    <dimension measure="1" name="Measures" uniqueName="[Measures]" caption="Measures"/>
  </dimensions>
  <measureGroups count="1">
    <measureGroup name="AR_table 1" caption="AR_table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rina Asri" refreshedDate="46064.744682986115" backgroundQuery="1" createdVersion="8" refreshedVersion="8" minRefreshableVersion="3" recordCount="0" supportSubquery="1" supportAdvancedDrill="1" xr:uid="{108F47AE-73C4-42E5-AEFC-C76DF7EEA206}">
  <cacheSource type="external" connectionId="1"/>
  <cacheFields count="3">
    <cacheField name="[AR_table 1].[due_date (Month)].[due_date (Month)]" caption="due_date (Month)" numFmtId="0" hierarchy="10" level="1">
      <sharedItems count="12">
        <s v="Feb"/>
        <s v="Mar"/>
        <s v="Apr"/>
        <s v="May"/>
        <s v="Jun"/>
        <s v="Jul"/>
        <s v="Aug"/>
        <s v="Sep"/>
        <s v="Oct"/>
        <s v="Nov"/>
        <s v="Dec"/>
        <s v="Jan"/>
      </sharedItems>
    </cacheField>
    <cacheField name="[AR_table 1].[due_date (Year)].[due_date (Year)]" caption="due_date (Year)" numFmtId="0" hierarchy="11" level="1">
      <sharedItems count="2">
        <s v="2025"/>
        <s v="2026"/>
      </sharedItems>
    </cacheField>
    <cacheField name="[Measures].[Sum of outstanding_amount]" caption="Sum of outstanding_amount" numFmtId="0" hierarchy="17" level="32767"/>
  </cacheFields>
  <cacheHierarchies count="18">
    <cacheHierarchy uniqueName="[AR_table 1].[ar_id]" caption="ar_id" attribute="1" defaultMemberUniqueName="[AR_table 1].[ar_id].[All]" allUniqueName="[AR_table 1].[ar_id].[All]" dimensionUniqueName="[AR_table 1]" displayFolder="" count="0" memberValueDatatype="130" unbalanced="0"/>
    <cacheHierarchy uniqueName="[AR_table 1].[customer]" caption="customer" attribute="1" defaultMemberUniqueName="[AR_table 1].[customer].[All]" allUniqueName="[AR_table 1].[customer].[All]" dimensionUniqueName="[AR_table 1]" displayFolder="" count="0" memberValueDatatype="130" unbalanced="0"/>
    <cacheHierarchy uniqueName="[AR_table 1].[invoice_date]" caption="invoice_date" attribute="1" time="1" defaultMemberUniqueName="[AR_table 1].[invoice_date].[All]" allUniqueName="[AR_table 1].[invoice_date].[All]" dimensionUniqueName="[AR_table 1]" displayFolder="" count="0" memberValueDatatype="7" unbalanced="0"/>
    <cacheHierarchy uniqueName="[AR_table 1].[due_date]" caption="due_date" attribute="1" time="1" defaultMemberUniqueName="[AR_table 1].[due_date].[All]" allUniqueName="[AR_table 1].[due_date].[All]" dimensionUniqueName="[AR_table 1]" displayFolder="" count="2" memberValueDatatype="7" unbalanced="0"/>
    <cacheHierarchy uniqueName="[AR_table 1].[outstanding_amount]" caption="outstanding_amount" attribute="1" defaultMemberUniqueName="[AR_table 1].[outstanding_amount].[All]" allUniqueName="[AR_table 1].[outstanding_amount].[All]" dimensionUniqueName="[AR_table 1]" displayFolder="" count="0" memberValueDatatype="5" unbalanced="0"/>
    <cacheHierarchy uniqueName="[AR_table 1].[past_due_days]" caption="past_due_days" attribute="1" defaultMemberUniqueName="[AR_table 1].[past_due_days].[All]" allUniqueName="[AR_table 1].[past_due_days].[All]" dimensionUniqueName="[AR_table 1]" displayFolder="" count="0" memberValueDatatype="20" unbalanced="0"/>
    <cacheHierarchy uniqueName="[AR_table 1].[aging_category]" caption="aging_category" attribute="1" defaultMemberUniqueName="[AR_table 1].[aging_category].[All]" allUniqueName="[AR_table 1].[aging_category].[All]" dimensionUniqueName="[AR_table 1]" displayFolder="" count="0" memberValueDatatype="130" unbalanced="0"/>
    <cacheHierarchy uniqueName="[AR_table 1].[invoice_date (Year)]" caption="invoice_date (Year)" attribute="1" defaultMemberUniqueName="[AR_table 1].[invoice_date (Year)].[All]" allUniqueName="[AR_table 1].[invoice_date (Year)].[All]" dimensionUniqueName="[AR_table 1]" displayFolder="" count="0" memberValueDatatype="130" unbalanced="0"/>
    <cacheHierarchy uniqueName="[AR_table 1].[invoice_date (Quarter)]" caption="invoice_date (Quarter)" attribute="1" defaultMemberUniqueName="[AR_table 1].[invoice_date (Quarter)].[All]" allUniqueName="[AR_table 1].[invoice_date (Quarter)].[All]" dimensionUniqueName="[AR_table 1]" displayFolder="" count="0" memberValueDatatype="130" unbalanced="0"/>
    <cacheHierarchy uniqueName="[AR_table 1].[invoice_date (Month)]" caption="invoice_date (Month)" attribute="1" defaultMemberUniqueName="[AR_table 1].[invoice_date (Month)].[All]" allUniqueName="[AR_table 1].[invoice_date (Month)].[All]" dimensionUniqueName="[AR_table 1]" displayFolder="" count="0" memberValueDatatype="130" unbalanced="0"/>
    <cacheHierarchy uniqueName="[AR_table 1].[due_date (Month)]" caption="due_date (Month)" attribute="1" defaultMemberUniqueName="[AR_table 1].[due_date (Month)].[All]" allUniqueName="[AR_table 1].[due_date (Month)].[All]" dimensionUniqueName="[AR_table 1]" displayFolder="" count="2" memberValueDatatype="130" unbalanced="0">
      <fieldsUsage count="2">
        <fieldUsage x="-1"/>
        <fieldUsage x="0"/>
      </fieldsUsage>
    </cacheHierarchy>
    <cacheHierarchy uniqueName="[AR_table 1].[due_date (Year)]" caption="due_date (Year)" attribute="1" defaultMemberUniqueName="[AR_table 1].[due_date (Year)].[All]" allUniqueName="[AR_table 1].[due_date (Year)].[All]" dimensionUniqueName="[AR_table 1]" displayFolder="" count="2" memberValueDatatype="130" unbalanced="0">
      <fieldsUsage count="2">
        <fieldUsage x="-1"/>
        <fieldUsage x="1"/>
      </fieldsUsage>
    </cacheHierarchy>
    <cacheHierarchy uniqueName="[AR_table 1].[due_date (Quarter)]" caption="due_date (Quarter)" attribute="1" defaultMemberUniqueName="[AR_table 1].[due_date (Quarter)].[All]" allUniqueName="[AR_table 1].[due_date (Quarter)].[All]" dimensionUniqueName="[AR_table 1]" displayFolder="" count="2" memberValueDatatype="130" unbalanced="0"/>
    <cacheHierarchy uniqueName="[AR_table 1].[due_date (Month Index)]" caption="due_date (Month Index)" attribute="1" defaultMemberUniqueName="[AR_table 1].[due_date (Month Index)].[All]" allUniqueName="[AR_table 1].[due_date (Month Index)].[All]" dimensionUniqueName="[AR_table 1]" displayFolder="" count="0" memberValueDatatype="20" unbalanced="0" hidden="1"/>
    <cacheHierarchy uniqueName="[AR_table 1].[invoice_date (Month Index)]" caption="invoice_date (Month Index)" attribute="1" defaultMemberUniqueName="[AR_table 1].[invoice_date (Month Index)].[All]" allUniqueName="[AR_table 1].[invoice_date (Month Index)].[All]" dimensionUniqueName="[AR_table 1]" displayFolder="" count="0" memberValueDatatype="20" unbalanced="0" hidden="1"/>
    <cacheHierarchy uniqueName="[Measures].[__XL_Count AR_table 1]" caption="__XL_Count AR_table 1" measure="1" displayFolder="" measureGroup="AR_table 1" count="0" hidden="1"/>
    <cacheHierarchy uniqueName="[Measures].[__No measures defined]" caption="__No measures defined" measure="1" displayFolder="" count="0" hidden="1"/>
    <cacheHierarchy uniqueName="[Measures].[Sum of outstanding_amount]" caption="Sum of outstanding_amount" measure="1" displayFolder="" measureGroup="AR_table 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AR_table 1" uniqueName="[AR_table 1]" caption="AR_table 1"/>
    <dimension measure="1" name="Measures" uniqueName="[Measures]" caption="Measures"/>
  </dimensions>
  <measureGroups count="1">
    <measureGroup name="AR_table 1" caption="AR_table 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rina Asri" refreshedDate="46064.592600462965" backgroundQuery="1" createdVersion="3" refreshedVersion="8" minRefreshableVersion="3" recordCount="0" supportSubquery="1" supportAdvancedDrill="1" xr:uid="{1425AB80-F8BE-42F7-A4F3-36CDBB3C2ABF}">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AR_table 1].[ar_id]" caption="ar_id" attribute="1" defaultMemberUniqueName="[AR_table 1].[ar_id].[All]" allUniqueName="[AR_table 1].[ar_id].[All]" dimensionUniqueName="[AR_table 1]" displayFolder="" count="0" memberValueDatatype="130" unbalanced="0"/>
    <cacheHierarchy uniqueName="[AR_table 1].[customer]" caption="customer" attribute="1" defaultMemberUniqueName="[AR_table 1].[customer].[All]" allUniqueName="[AR_table 1].[customer].[All]" dimensionUniqueName="[AR_table 1]" displayFolder="" count="2" memberValueDatatype="130" unbalanced="0"/>
    <cacheHierarchy uniqueName="[AR_table 1].[invoice_date]" caption="invoice_date" attribute="1" time="1" defaultMemberUniqueName="[AR_table 1].[invoice_date].[All]" allUniqueName="[AR_table 1].[invoice_date].[All]" dimensionUniqueName="[AR_table 1]" displayFolder="" count="0" memberValueDatatype="7" unbalanced="0"/>
    <cacheHierarchy uniqueName="[AR_table 1].[due_date]" caption="due_date" attribute="1" time="1" defaultMemberUniqueName="[AR_table 1].[due_date].[All]" allUniqueName="[AR_table 1].[due_date].[All]" dimensionUniqueName="[AR_table 1]" displayFolder="" count="0" memberValueDatatype="7" unbalanced="0"/>
    <cacheHierarchy uniqueName="[AR_table 1].[outstanding_amount]" caption="outstanding_amount" attribute="1" defaultMemberUniqueName="[AR_table 1].[outstanding_amount].[All]" allUniqueName="[AR_table 1].[outstanding_amount].[All]" dimensionUniqueName="[AR_table 1]" displayFolder="" count="0" memberValueDatatype="5" unbalanced="0"/>
    <cacheHierarchy uniqueName="[AR_table 1].[past_due_days]" caption="past_due_days" attribute="1" defaultMemberUniqueName="[AR_table 1].[past_due_days].[All]" allUniqueName="[AR_table 1].[past_due_days].[All]" dimensionUniqueName="[AR_table 1]" displayFolder="" count="0" memberValueDatatype="20" unbalanced="0"/>
    <cacheHierarchy uniqueName="[AR_table 1].[aging_category]" caption="aging_category" attribute="1" defaultMemberUniqueName="[AR_table 1].[aging_category].[All]" allUniqueName="[AR_table 1].[aging_category].[All]" dimensionUniqueName="[AR_table 1]" displayFolder="" count="2" memberValueDatatype="130" unbalanced="0"/>
    <cacheHierarchy uniqueName="[AR_table 1].[invoice_date (Year)]" caption="invoice_date (Year)" attribute="1" defaultMemberUniqueName="[AR_table 1].[invoice_date (Year)].[All]" allUniqueName="[AR_table 1].[invoice_date (Year)].[All]" dimensionUniqueName="[AR_table 1]" displayFolder="" count="0" memberValueDatatype="130" unbalanced="0"/>
    <cacheHierarchy uniqueName="[AR_table 1].[invoice_date (Quarter)]" caption="invoice_date (Quarter)" attribute="1" defaultMemberUniqueName="[AR_table 1].[invoice_date (Quarter)].[All]" allUniqueName="[AR_table 1].[invoice_date (Quarter)].[All]" dimensionUniqueName="[AR_table 1]" displayFolder="" count="0" memberValueDatatype="130" unbalanced="0"/>
    <cacheHierarchy uniqueName="[AR_table 1].[invoice_date (Month)]" caption="invoice_date (Month)" attribute="1" defaultMemberUniqueName="[AR_table 1].[invoice_date (Month)].[All]" allUniqueName="[AR_table 1].[invoice_date (Month)].[All]" dimensionUniqueName="[AR_table 1]" displayFolder="" count="0" memberValueDatatype="130" unbalanced="0"/>
    <cacheHierarchy uniqueName="[AR_table 1].[due_date (Month)]" caption="due_date (Month)" attribute="1" defaultMemberUniqueName="[AR_table 1].[due_date (Month)].[All]" allUniqueName="[AR_table 1].[due_date (Month)].[All]" dimensionUniqueName="[AR_table 1]" displayFolder="" count="0" memberValueDatatype="130" unbalanced="0"/>
    <cacheHierarchy uniqueName="[AR_table 1].[due_date (Year)]" caption="due_date (Year)" attribute="1" defaultMemberUniqueName="[AR_table 1].[due_date (Year)].[All]" allUniqueName="[AR_table 1].[due_date (Year)].[All]" dimensionUniqueName="[AR_table 1]" displayFolder="" count="0" memberValueDatatype="130" unbalanced="0"/>
    <cacheHierarchy uniqueName="[AR_table 1].[due_date (Quarter)]" caption="due_date (Quarter)" attribute="1" defaultMemberUniqueName="[AR_table 1].[due_date (Quarter)].[All]" allUniqueName="[AR_table 1].[due_date (Quarter)].[All]" dimensionUniqueName="[AR_table 1]" displayFolder="" count="0" memberValueDatatype="130" unbalanced="0"/>
    <cacheHierarchy uniqueName="[AR_table 1].[due_date (Month Index)]" caption="due_date (Month Index)" attribute="1" defaultMemberUniqueName="[AR_table 1].[due_date (Month Index)].[All]" allUniqueName="[AR_table 1].[due_date (Month Index)].[All]" dimensionUniqueName="[AR_table 1]" displayFolder="" count="0" memberValueDatatype="20" unbalanced="0" hidden="1"/>
    <cacheHierarchy uniqueName="[AR_table 1].[invoice_date (Month Index)]" caption="invoice_date (Month Index)" attribute="1" defaultMemberUniqueName="[AR_table 1].[invoice_date (Month Index)].[All]" allUniqueName="[AR_table 1].[invoice_date (Month Index)].[All]" dimensionUniqueName="[AR_table 1]" displayFolder="" count="0" memberValueDatatype="20" unbalanced="0" hidden="1"/>
    <cacheHierarchy uniqueName="[Measures].[__XL_Count AR_table 1]" caption="__XL_Count AR_table 1" measure="1" displayFolder="" measureGroup="AR_table 1" count="0" hidden="1"/>
    <cacheHierarchy uniqueName="[Measures].[__No measures defined]" caption="__No measures defined" measure="1" displayFolder="" count="0" hidden="1"/>
    <cacheHierarchy uniqueName="[Measures].[Sum of outstanding_amount]" caption="Sum of outstanding_amount" measure="1" displayFolder="" measureGroup="AR_table 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698917847"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brina Asri" refreshedDate="46064.605924074072" backgroundQuery="1" createdVersion="3" refreshedVersion="8" minRefreshableVersion="3" recordCount="0" supportSubquery="1" supportAdvancedDrill="1" xr:uid="{4C06F5FC-EC0D-4554-98E0-BDC8271CABE8}">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AR_table 1].[ar_id]" caption="ar_id" attribute="1" defaultMemberUniqueName="[AR_table 1].[ar_id].[All]" allUniqueName="[AR_table 1].[ar_id].[All]" dimensionUniqueName="[AR_table 1]" displayFolder="" count="0" memberValueDatatype="130" unbalanced="0"/>
    <cacheHierarchy uniqueName="[AR_table 1].[customer]" caption="customer" attribute="1" defaultMemberUniqueName="[AR_table 1].[customer].[All]" allUniqueName="[AR_table 1].[customer].[All]" dimensionUniqueName="[AR_table 1]" displayFolder="" count="0" memberValueDatatype="130" unbalanced="0"/>
    <cacheHierarchy uniqueName="[AR_table 1].[invoice_date]" caption="invoice_date" attribute="1" time="1" defaultMemberUniqueName="[AR_table 1].[invoice_date].[All]" allUniqueName="[AR_table 1].[invoice_date].[All]" dimensionUniqueName="[AR_table 1]" displayFolder="" count="0" memberValueDatatype="7" unbalanced="0"/>
    <cacheHierarchy uniqueName="[AR_table 1].[due_date]" caption="due_date" attribute="1" time="1" defaultMemberUniqueName="[AR_table 1].[due_date].[All]" allUniqueName="[AR_table 1].[due_date].[All]" dimensionUniqueName="[AR_table 1]" displayFolder="" count="2" memberValueDatatype="7" unbalanced="0"/>
    <cacheHierarchy uniqueName="[AR_table 1].[outstanding_amount]" caption="outstanding_amount" attribute="1" defaultMemberUniqueName="[AR_table 1].[outstanding_amount].[All]" allUniqueName="[AR_table 1].[outstanding_amount].[All]" dimensionUniqueName="[AR_table 1]" displayFolder="" count="0" memberValueDatatype="5" unbalanced="0"/>
    <cacheHierarchy uniqueName="[AR_table 1].[past_due_days]" caption="past_due_days" attribute="1" defaultMemberUniqueName="[AR_table 1].[past_due_days].[All]" allUniqueName="[AR_table 1].[past_due_days].[All]" dimensionUniqueName="[AR_table 1]" displayFolder="" count="0" memberValueDatatype="20" unbalanced="0"/>
    <cacheHierarchy uniqueName="[AR_table 1].[aging_category]" caption="aging_category" attribute="1" defaultMemberUniqueName="[AR_table 1].[aging_category].[All]" allUniqueName="[AR_table 1].[aging_category].[All]" dimensionUniqueName="[AR_table 1]" displayFolder="" count="0" memberValueDatatype="130" unbalanced="0"/>
    <cacheHierarchy uniqueName="[AR_table 1].[invoice_date (Year)]" caption="invoice_date (Year)" attribute="1" defaultMemberUniqueName="[AR_table 1].[invoice_date (Year)].[All]" allUniqueName="[AR_table 1].[invoice_date (Year)].[All]" dimensionUniqueName="[AR_table 1]" displayFolder="" count="0" memberValueDatatype="130" unbalanced="0"/>
    <cacheHierarchy uniqueName="[AR_table 1].[invoice_date (Quarter)]" caption="invoice_date (Quarter)" attribute="1" defaultMemberUniqueName="[AR_table 1].[invoice_date (Quarter)].[All]" allUniqueName="[AR_table 1].[invoice_date (Quarter)].[All]" dimensionUniqueName="[AR_table 1]" displayFolder="" count="0" memberValueDatatype="130" unbalanced="0"/>
    <cacheHierarchy uniqueName="[AR_table 1].[invoice_date (Month)]" caption="invoice_date (Month)" attribute="1" defaultMemberUniqueName="[AR_table 1].[invoice_date (Month)].[All]" allUniqueName="[AR_table 1].[invoice_date (Month)].[All]" dimensionUniqueName="[AR_table 1]" displayFolder="" count="0" memberValueDatatype="130" unbalanced="0"/>
    <cacheHierarchy uniqueName="[AR_table 1].[due_date (Month)]" caption="due_date (Month)" attribute="1" defaultMemberUniqueName="[AR_table 1].[due_date (Month)].[All]" allUniqueName="[AR_table 1].[due_date (Month)].[All]" dimensionUniqueName="[AR_table 1]" displayFolder="" count="0" memberValueDatatype="130" unbalanced="0"/>
    <cacheHierarchy uniqueName="[AR_table 1].[due_date (Year)]" caption="due_date (Year)" attribute="1" defaultMemberUniqueName="[AR_table 1].[due_date (Year)].[All]" allUniqueName="[AR_table 1].[due_date (Year)].[All]" dimensionUniqueName="[AR_table 1]" displayFolder="" count="0" memberValueDatatype="130" unbalanced="0"/>
    <cacheHierarchy uniqueName="[AR_table 1].[due_date (Quarter)]" caption="due_date (Quarter)" attribute="1" defaultMemberUniqueName="[AR_table 1].[due_date (Quarter)].[All]" allUniqueName="[AR_table 1].[due_date (Quarter)].[All]" dimensionUniqueName="[AR_table 1]" displayFolder="" count="0" memberValueDatatype="130" unbalanced="0"/>
    <cacheHierarchy uniqueName="[AR_table 1].[due_date (Month Index)]" caption="due_date (Month Index)" attribute="1" defaultMemberUniqueName="[AR_table 1].[due_date (Month Index)].[All]" allUniqueName="[AR_table 1].[due_date (Month Index)].[All]" dimensionUniqueName="[AR_table 1]" displayFolder="" count="0" memberValueDatatype="20" unbalanced="0" hidden="1"/>
    <cacheHierarchy uniqueName="[AR_table 1].[invoice_date (Month Index)]" caption="invoice_date (Month Index)" attribute="1" defaultMemberUniqueName="[AR_table 1].[invoice_date (Month Index)].[All]" allUniqueName="[AR_table 1].[invoice_date (Month Index)].[All]" dimensionUniqueName="[AR_table 1]" displayFolder="" count="0" memberValueDatatype="20" unbalanced="0" hidden="1"/>
    <cacheHierarchy uniqueName="[Measures].[__XL_Count AR_table 1]" caption="__XL_Count AR_table 1" measure="1" displayFolder="" measureGroup="AR_table 1" count="0" hidden="1"/>
    <cacheHierarchy uniqueName="[Measures].[__No measures defined]" caption="__No measures defined" measure="1" displayFolder="" count="0" hidden="1"/>
    <cacheHierarchy uniqueName="[Measures].[Sum of outstanding_amount]" caption="Sum of outstanding_amount" measure="1" displayFolder="" measureGroup="AR_table 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995790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35F79-A040-4F30-BE6D-D2D73E406B17}" name="PivotTable12" cacheId="11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G26" firstHeaderRow="1" firstDataRow="2" firstDataCol="1"/>
  <pivotFields count="4">
    <pivotField dataField="1" subtotalTop="0" showAll="0" defaultSubtotal="0"/>
    <pivotField axis="axisCol" allDrilled="1" subtotalTop="0" showAll="0" defaultSubtotal="0" defaultAttributeDrillState="1">
      <items count="5">
        <item x="4"/>
        <item x="1"/>
        <item x="2"/>
        <item x="3"/>
        <item x="0"/>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3"/>
    <field x="2"/>
  </rowFields>
  <rowItems count="22">
    <i>
      <x/>
    </i>
    <i r="1">
      <x/>
    </i>
    <i r="1">
      <x v="1"/>
    </i>
    <i r="1">
      <x v="2"/>
    </i>
    <i r="1">
      <x v="3"/>
    </i>
    <i r="1">
      <x v="4"/>
    </i>
    <i r="1">
      <x v="5"/>
    </i>
    <i r="1">
      <x v="6"/>
    </i>
    <i r="1">
      <x v="7"/>
    </i>
    <i r="1">
      <x v="8"/>
    </i>
    <i r="1">
      <x v="9"/>
    </i>
    <i r="1">
      <x v="10"/>
    </i>
    <i>
      <x v="1"/>
    </i>
    <i r="1">
      <x v="11"/>
    </i>
    <i r="1">
      <x/>
    </i>
    <i r="1">
      <x v="1"/>
    </i>
    <i r="1">
      <x v="2"/>
    </i>
    <i r="1">
      <x v="3"/>
    </i>
    <i r="1">
      <x v="4"/>
    </i>
    <i r="1">
      <x v="5"/>
    </i>
    <i r="1">
      <x v="6"/>
    </i>
    <i t="grand">
      <x/>
    </i>
  </rowItems>
  <colFields count="1">
    <field x="1"/>
  </colFields>
  <colItems count="6">
    <i>
      <x/>
    </i>
    <i>
      <x v="1"/>
    </i>
    <i>
      <x v="2"/>
    </i>
    <i>
      <x v="3"/>
    </i>
    <i>
      <x v="4"/>
    </i>
    <i t="grand">
      <x/>
    </i>
  </colItems>
  <dataFields count="1">
    <dataField name="Sum of outstanding_amount" fld="0" baseField="0" baseItem="0" numFmtId="164"/>
  </dataFields>
  <formats count="3">
    <format dxfId="92">
      <pivotArea outline="0" collapsedLevelsAreSubtotals="1" fieldPosition="0"/>
    </format>
    <format dxfId="93">
      <pivotArea dataOnly="0" labelOnly="1" fieldPosition="0">
        <references count="1">
          <reference field="1" count="0"/>
        </references>
      </pivotArea>
    </format>
    <format dxfId="94">
      <pivotArea dataOnly="0" labelOnly="1" grandCol="1" outline="0" fieldPosition="0"/>
    </format>
  </formats>
  <chartFormats count="10">
    <chartFormat chart="0" format="0" series="1">
      <pivotArea type="data" outline="0" fieldPosition="0">
        <references count="2">
          <reference field="4294967294" count="1" selected="0">
            <x v="0"/>
          </reference>
          <reference field="1" count="1" selected="0">
            <x v="4"/>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3" format="16" series="1">
      <pivotArea type="data" outline="0" fieldPosition="0">
        <references count="2">
          <reference field="4294967294" count="1" selected="0">
            <x v="0"/>
          </reference>
          <reference field="1" count="1" selected="0">
            <x v="0"/>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3" format="18" series="1">
      <pivotArea type="data" outline="0" fieldPosition="0">
        <references count="2">
          <reference field="4294967294" count="1" selected="0">
            <x v="0"/>
          </reference>
          <reference field="1" count="1" selected="0">
            <x v="2"/>
          </reference>
        </references>
      </pivotArea>
    </chartFormat>
    <chartFormat chart="3" format="19" series="1">
      <pivotArea type="data" outline="0" fieldPosition="0">
        <references count="2">
          <reference field="4294967294" count="1" selected="0">
            <x v="0"/>
          </reference>
          <reference field="1" count="1" selected="0">
            <x v="3"/>
          </reference>
        </references>
      </pivotArea>
    </chartFormat>
    <chartFormat chart="3" format="23" series="1">
      <pivotArea type="data" outline="0" fieldPosition="0">
        <references count="2">
          <reference field="4294967294" count="1" selected="0">
            <x v="0"/>
          </reference>
          <reference field="1" count="1" selected="0">
            <x v="4"/>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ccounts-Receivable.xlsx!AR_table1">
        <x15:activeTabTopLevelEntity name="[AR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729F78-C42F-4097-BBC5-D4C810988AD0}" name="PivotTable13" cacheId="11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G10"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efaultSubtotal="0" defaultAttributeDrillState="1">
      <items count="5">
        <item x="4"/>
        <item x="1"/>
        <item x="2"/>
        <item x="3"/>
        <item x="0"/>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outstanding_amount" fld="1" baseField="0" baseItem="0" numFmtId="164"/>
  </dataFields>
  <formats count="1">
    <format dxfId="95">
      <pivotArea type="all" dataOnly="0" outline="0" fieldPosition="0"/>
    </format>
  </format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ccounts-Receivable.xlsx!AR_table1">
        <x15:activeTabTopLevelEntity name="[AR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79AFE-DAFC-496D-95C8-781976904D54}" name="PivotTable18" cacheId="115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2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0"/>
  </rowFields>
  <rowItems count="22">
    <i>
      <x/>
    </i>
    <i r="1">
      <x/>
    </i>
    <i r="1">
      <x v="1"/>
    </i>
    <i r="1">
      <x v="2"/>
    </i>
    <i r="1">
      <x v="3"/>
    </i>
    <i r="1">
      <x v="4"/>
    </i>
    <i r="1">
      <x v="5"/>
    </i>
    <i r="1">
      <x v="6"/>
    </i>
    <i r="1">
      <x v="7"/>
    </i>
    <i r="1">
      <x v="8"/>
    </i>
    <i r="1">
      <x v="9"/>
    </i>
    <i r="1">
      <x v="10"/>
    </i>
    <i>
      <x v="1"/>
    </i>
    <i r="1">
      <x v="11"/>
    </i>
    <i r="1">
      <x/>
    </i>
    <i r="1">
      <x v="1"/>
    </i>
    <i r="1">
      <x v="2"/>
    </i>
    <i r="1">
      <x v="3"/>
    </i>
    <i r="1">
      <x v="4"/>
    </i>
    <i r="1">
      <x v="5"/>
    </i>
    <i r="1">
      <x v="6"/>
    </i>
    <i t="grand">
      <x/>
    </i>
  </rowItems>
  <colItems count="1">
    <i/>
  </colItems>
  <dataFields count="1">
    <dataField name="Sum of outstanding_amount" fld="2" baseField="0" baseItem="0" numFmtId="164"/>
  </dataFields>
  <formats count="8">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0"/>
        </references>
      </pivotArea>
    </format>
    <format dxfId="87">
      <pivotArea dataOnly="0" labelOnly="1" grandRow="1" outline="0" fieldPosition="0"/>
    </format>
    <format dxfId="86">
      <pivotArea dataOnly="0" labelOnly="1" fieldPosition="0">
        <references count="2">
          <reference field="0" count="11">
            <x v="0"/>
            <x v="1"/>
            <x v="2"/>
            <x v="3"/>
            <x v="4"/>
            <x v="5"/>
            <x v="6"/>
            <x v="7"/>
            <x v="8"/>
            <x v="9"/>
            <x v="10"/>
          </reference>
          <reference field="1" count="1" selected="0">
            <x v="0"/>
          </reference>
        </references>
      </pivotArea>
    </format>
    <format dxfId="85">
      <pivotArea dataOnly="0" labelOnly="1" fieldPosition="0">
        <references count="2">
          <reference field="0" count="8">
            <x v="0"/>
            <x v="1"/>
            <x v="2"/>
            <x v="3"/>
            <x v="4"/>
            <x v="5"/>
            <x v="6"/>
            <x v="11"/>
          </reference>
          <reference field="1" count="1" selected="0">
            <x v="1"/>
          </reference>
        </references>
      </pivotArea>
    </format>
    <format dxfId="84">
      <pivotArea dataOnly="0" labelOnly="1" outline="0" axis="axisValues" fieldPosition="0"/>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ccounts-Receivable.xlsx!AR_table1">
        <x15:activeTabTopLevelEntity name="[AR_tabl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7D29319F-82D7-4882-BB2C-7ADBA9074F2C}" sourceName="[AR_table 1].[customer]">
  <pivotTables>
    <pivotTable tabId="16" name="PivotTable13"/>
    <pivotTable tabId="15" name="PivotTable12"/>
  </pivotTables>
  <data>
    <olap pivotCacheId="1698917847">
      <levels count="2">
        <level uniqueName="[AR_table 1].[customer].[(All)]" sourceCaption="(All)" count="0"/>
        <level uniqueName="[AR_table 1].[customer].[customer]" sourceCaption="customer" count="5">
          <ranges>
            <range startItem="0">
              <i n="[AR_table 1].[customer].&amp;[Acme]" c="Acme"/>
              <i n="[AR_table 1].[customer].&amp;[Globex]" c="Globex"/>
              <i n="[AR_table 1].[customer].&amp;[Initech]" c="Initech"/>
              <i n="[AR_table 1].[customer].&amp;[Soylent]" c="Soylent"/>
              <i n="[AR_table 1].[customer].&amp;[Umbrella]" c="Umbrella"/>
            </range>
          </ranges>
        </level>
      </levels>
      <selections count="1">
        <selection n="[AR_table 1].[custom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ing_category" xr10:uid="{F0945C6D-70AD-4FCE-9131-B8EBDAE0449A}" sourceName="[AR_table 1].[aging_category]">
  <pivotTables>
    <pivotTable tabId="16" name="PivotTable13"/>
    <pivotTable tabId="15" name="PivotTable12"/>
  </pivotTables>
  <data>
    <olap pivotCacheId="1698917847">
      <levels count="2">
        <level uniqueName="[AR_table 1].[aging_category].[(All)]" sourceCaption="(All)" count="0"/>
        <level uniqueName="[AR_table 1].[aging_category].[aging_category]" sourceCaption="aging_category" count="5">
          <ranges>
            <range startItem="0">
              <i n="[AR_table 1].[aging_category].&amp;[&gt;90]" c="&gt;90"/>
              <i n="[AR_table 1].[aging_category].&amp;[1-30]" c="1-30"/>
              <i n="[AR_table 1].[aging_category].&amp;[31-60]" c="31-60"/>
              <i n="[AR_table 1].[aging_category].&amp;[61-90]" c="61-90"/>
              <i n="[AR_table 1].[aging_category].&amp;[Not due]" c="Not due"/>
            </range>
          </ranges>
        </level>
      </levels>
      <selections count="1">
        <selection n="[AR_table 1].[aging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1" xr10:uid="{7D3C9533-CFC3-4E30-B936-9A1A1720E4F3}" cache="Slicer_customer" caption="customer" level="1" rowHeight="234950"/>
  <slicer name="aging_category 1" xr10:uid="{E9ED88ED-5B42-4DAE-A629-AD6F796715FE}" cache="Slicer_aging_category" caption="aging_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9B9D25D5-57AF-4EA4-817C-2BEE7253385B}" cache="Slicer_customer" caption="customer" level="1" rowHeight="234950"/>
  <slicer name="aging_category" xr10:uid="{3CD33BA3-29F2-48D9-8404-CE67727D321B}" cache="Slicer_aging_category" caption="aging_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BF2962-DE1D-42DD-8B41-5BB7AC45DA9B}" name="aging_bucket" displayName="aging_bucket" ref="I3:J8" totalsRowShown="0">
  <autoFilter ref="I3:J8" xr:uid="{11BF2962-DE1D-42DD-8B41-5BB7AC45DA9B}"/>
  <tableColumns count="2">
    <tableColumn id="1" xr3:uid="{F39E95C0-A6F6-4D3C-969C-1D3CF6712897}" name="due_days"/>
    <tableColumn id="2" xr3:uid="{8F40181B-E4F5-4109-96BB-A8425E254FC7}" name="aging_bucke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7B6372-0638-4E68-BDB0-95989B952CD3}" name="AR_table" displayName="AR_table" ref="A1:G600" totalsRowShown="0" dataDxfId="96" tableBorderDxfId="104">
  <autoFilter ref="A1:G600" xr:uid="{427B6372-0638-4E68-BDB0-95989B952CD3}"/>
  <tableColumns count="7">
    <tableColumn id="1" xr3:uid="{959799F2-B91D-4D60-BE1E-8398A9023901}" name="ar_id" dataDxfId="103"/>
    <tableColumn id="2" xr3:uid="{04943289-A590-4290-9A75-8E8541C7EC3B}" name="customer" dataDxfId="102"/>
    <tableColumn id="3" xr3:uid="{4496B90E-A6A6-4848-B8E2-EA4FB5B972EA}" name="invoice_date" dataDxfId="101"/>
    <tableColumn id="4" xr3:uid="{71EFA1D8-3499-45A7-B6DF-2E87BE1FDD03}" name="due_date" dataDxfId="100">
      <calculatedColumnFormula>WORKDAY(AR_table!$C2,$J$1)</calculatedColumnFormula>
    </tableColumn>
    <tableColumn id="5" xr3:uid="{2A9E4D3E-48BF-4103-9329-769E86D1618A}" name="outstanding_amount" dataDxfId="99"/>
    <tableColumn id="6" xr3:uid="{428956C3-5BCC-40B5-A88C-526B2A897A5B}" name="past_due_days" dataDxfId="98">
      <calculatedColumnFormula>IF(AR_table!$D2&gt;=TODAY(),0,NETWORKDAYS(AR_table!$D2,TODAY()))</calculatedColumnFormula>
    </tableColumn>
    <tableColumn id="7" xr3:uid="{4C405945-36BE-4C47-869F-DA41572F14F3}" name="aging_category" dataDxfId="97">
      <calculatedColumnFormula>VLOOKUP(AR_table!$F2,aging_bucket[#All],2)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ue_date" xr10:uid="{18115EAA-4310-40C0-881D-4A2FEA9315E2}" sourceName="[AR_table 1].[due_date]">
  <pivotTables>
    <pivotTable tabId="15" name="PivotTable12"/>
    <pivotTable tabId="16" name="PivotTable13"/>
    <pivotTable tabId="20" name="PivotTable18"/>
  </pivotTables>
  <state minimalRefreshVersion="6" lastRefreshVersion="6" pivotCacheId="9957900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ue_date 1" xr10:uid="{C4745CB3-36CF-4251-84C1-D75DAAE9FE84}" cache="Timeline_due_date" caption="due_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ue_date" xr10:uid="{3A43EC88-7822-4C32-B95A-64208A6BE769}" cache="Timeline_due_date" caption="due_date" level="2" selectionLevel="2" scrollPosition="202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A4CA-8CE7-4367-B72B-1B3E555A6DA6}">
  <dimension ref="A1:Z12"/>
  <sheetViews>
    <sheetView showGridLines="0" tabSelected="1" zoomScale="70" zoomScaleNormal="70" workbookViewId="0">
      <selection activeCell="B8" sqref="B8:E8"/>
    </sheetView>
  </sheetViews>
  <sheetFormatPr defaultRowHeight="14.4" x14ac:dyDescent="0.3"/>
  <cols>
    <col min="2" max="3" width="27.21875" bestFit="1" customWidth="1"/>
    <col min="7" max="7" width="8.88671875" customWidth="1"/>
    <col min="8" max="8" width="26.88671875" bestFit="1" customWidth="1"/>
    <col min="10" max="10" width="26.88671875" bestFit="1" customWidth="1"/>
    <col min="12" max="12" width="13.109375" bestFit="1" customWidth="1"/>
  </cols>
  <sheetData>
    <row r="1" spans="1:26" ht="14.4" customHeight="1" x14ac:dyDescent="0.3">
      <c r="A1" s="17" t="s">
        <v>611</v>
      </c>
      <c r="B1" s="17"/>
      <c r="C1" s="17"/>
      <c r="D1" s="17"/>
      <c r="E1" s="17"/>
      <c r="F1" s="17"/>
      <c r="G1" s="17"/>
      <c r="H1" s="17"/>
      <c r="I1" s="17"/>
      <c r="J1" s="17"/>
      <c r="K1" s="17"/>
      <c r="L1" s="17"/>
      <c r="M1" s="17"/>
      <c r="N1" s="17"/>
      <c r="O1" s="17"/>
      <c r="P1" s="17"/>
      <c r="Q1" s="17"/>
      <c r="R1" s="17"/>
      <c r="S1" s="17"/>
      <c r="T1" s="17"/>
      <c r="U1" s="17"/>
      <c r="V1" s="17"/>
      <c r="W1" s="17"/>
      <c r="X1" s="38"/>
      <c r="Y1" s="38"/>
      <c r="Z1" s="38"/>
    </row>
    <row r="2" spans="1:26" ht="14.4" customHeight="1" x14ac:dyDescent="0.3">
      <c r="A2" s="17"/>
      <c r="B2" s="17"/>
      <c r="C2" s="17"/>
      <c r="D2" s="17"/>
      <c r="E2" s="17"/>
      <c r="F2" s="17"/>
      <c r="G2" s="17"/>
      <c r="H2" s="17"/>
      <c r="I2" s="17"/>
      <c r="J2" s="17"/>
      <c r="K2" s="17"/>
      <c r="L2" s="17"/>
      <c r="M2" s="17"/>
      <c r="N2" s="17"/>
      <c r="O2" s="17"/>
      <c r="P2" s="17"/>
      <c r="Q2" s="17"/>
      <c r="R2" s="17"/>
      <c r="S2" s="17"/>
      <c r="T2" s="17"/>
      <c r="U2" s="17"/>
      <c r="V2" s="17"/>
      <c r="W2" s="17"/>
      <c r="X2" s="38"/>
      <c r="Y2" s="38"/>
      <c r="Z2" s="38"/>
    </row>
    <row r="3" spans="1:26" ht="14.4" customHeight="1" x14ac:dyDescent="0.3">
      <c r="A3" s="17"/>
      <c r="B3" s="17"/>
      <c r="C3" s="17"/>
      <c r="D3" s="17"/>
      <c r="E3" s="17"/>
      <c r="F3" s="17"/>
      <c r="G3" s="17"/>
      <c r="H3" s="17"/>
      <c r="I3" s="17"/>
      <c r="J3" s="17"/>
      <c r="K3" s="17"/>
      <c r="L3" s="17"/>
      <c r="M3" s="17"/>
      <c r="N3" s="17"/>
      <c r="O3" s="17"/>
      <c r="P3" s="17"/>
      <c r="Q3" s="17"/>
      <c r="R3" s="17"/>
      <c r="S3" s="17"/>
      <c r="T3" s="17"/>
      <c r="U3" s="17"/>
      <c r="V3" s="17"/>
      <c r="W3" s="17"/>
      <c r="X3" s="38"/>
      <c r="Y3" s="38"/>
      <c r="Z3" s="38"/>
    </row>
    <row r="4" spans="1:26" ht="14.4" customHeight="1" x14ac:dyDescent="0.3">
      <c r="A4" s="17"/>
      <c r="B4" s="17"/>
      <c r="C4" s="17"/>
      <c r="D4" s="17"/>
      <c r="E4" s="17"/>
      <c r="F4" s="17"/>
      <c r="G4" s="17"/>
      <c r="H4" s="17"/>
      <c r="I4" s="17"/>
      <c r="J4" s="17"/>
      <c r="K4" s="17"/>
      <c r="L4" s="17"/>
      <c r="M4" s="17"/>
      <c r="N4" s="17"/>
      <c r="O4" s="17"/>
      <c r="P4" s="17"/>
      <c r="Q4" s="17"/>
      <c r="R4" s="17"/>
      <c r="S4" s="17"/>
      <c r="T4" s="17"/>
      <c r="U4" s="17"/>
      <c r="V4" s="17"/>
      <c r="W4" s="17"/>
      <c r="X4" s="38"/>
      <c r="Y4" s="38"/>
      <c r="Z4" s="38"/>
    </row>
    <row r="5" spans="1:26" x14ac:dyDescent="0.3">
      <c r="A5" s="17"/>
      <c r="B5" s="17"/>
      <c r="C5" s="17"/>
      <c r="D5" s="17"/>
      <c r="E5" s="17"/>
      <c r="F5" s="17"/>
      <c r="G5" s="17"/>
      <c r="H5" s="17"/>
      <c r="I5" s="17"/>
      <c r="J5" s="17"/>
      <c r="K5" s="17"/>
      <c r="L5" s="17"/>
      <c r="M5" s="17"/>
      <c r="N5" s="17"/>
      <c r="O5" s="17"/>
      <c r="P5" s="17"/>
      <c r="Q5" s="17"/>
      <c r="R5" s="17"/>
      <c r="S5" s="17"/>
      <c r="T5" s="17"/>
      <c r="U5" s="17"/>
      <c r="V5" s="17"/>
      <c r="W5" s="17"/>
    </row>
    <row r="8" spans="1:26" x14ac:dyDescent="0.3">
      <c r="B8" s="40"/>
      <c r="C8" s="40"/>
      <c r="D8" s="40"/>
      <c r="E8" s="40"/>
    </row>
    <row r="9" spans="1:26" ht="22.2" customHeight="1" x14ac:dyDescent="0.55000000000000004">
      <c r="C9" s="39"/>
      <c r="D9" s="39"/>
      <c r="E9" s="39"/>
      <c r="F9" s="39"/>
      <c r="G9" s="39"/>
    </row>
    <row r="10" spans="1:26" ht="28.8" x14ac:dyDescent="0.55000000000000004">
      <c r="B10" s="39"/>
      <c r="G10" s="39"/>
    </row>
    <row r="11" spans="1:26" ht="14.4" customHeight="1" x14ac:dyDescent="0.3"/>
    <row r="12" spans="1:26" ht="14.4" customHeight="1" x14ac:dyDescent="0.3">
      <c r="J12" s="2"/>
    </row>
  </sheetData>
  <mergeCells count="2">
    <mergeCell ref="A1:W5"/>
    <mergeCell ref="B8:E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84B6-F54D-498E-B1C9-226A444A4ED5}">
  <dimension ref="A3:I26"/>
  <sheetViews>
    <sheetView showGridLines="0" topLeftCell="A37" workbookViewId="0">
      <selection activeCell="J48" sqref="J48"/>
    </sheetView>
  </sheetViews>
  <sheetFormatPr defaultRowHeight="14.4" x14ac:dyDescent="0.3"/>
  <cols>
    <col min="1" max="1" width="25.6640625" bestFit="1" customWidth="1"/>
    <col min="2" max="2" width="15.5546875" bestFit="1" customWidth="1"/>
    <col min="3" max="5" width="11.5546875" bestFit="1" customWidth="1"/>
    <col min="6" max="7" width="13.21875" bestFit="1" customWidth="1"/>
    <col min="8" max="8" width="13.21875" customWidth="1"/>
    <col min="9" max="9" width="12.5546875" bestFit="1" customWidth="1"/>
    <col min="10" max="10" width="25.6640625" bestFit="1" customWidth="1"/>
    <col min="11" max="21" width="10" bestFit="1" customWidth="1"/>
    <col min="22" max="22" width="11" bestFit="1" customWidth="1"/>
    <col min="23" max="27" width="15.5546875" bestFit="1" customWidth="1"/>
    <col min="28" max="28" width="10.77734375" bestFit="1" customWidth="1"/>
    <col min="29" max="287" width="15.5546875" bestFit="1" customWidth="1"/>
    <col min="288" max="350" width="10.77734375" bestFit="1" customWidth="1"/>
    <col min="351" max="351" width="11" bestFit="1" customWidth="1"/>
  </cols>
  <sheetData>
    <row r="3" spans="1:9" x14ac:dyDescent="0.3">
      <c r="A3" s="8" t="s">
        <v>629</v>
      </c>
      <c r="B3" s="8" t="s">
        <v>613</v>
      </c>
    </row>
    <row r="4" spans="1:9" x14ac:dyDescent="0.3">
      <c r="A4" s="8" t="s">
        <v>612</v>
      </c>
      <c r="B4" s="2" t="s">
        <v>604</v>
      </c>
      <c r="C4" s="2" t="s">
        <v>605</v>
      </c>
      <c r="D4" s="2" t="s">
        <v>606</v>
      </c>
      <c r="E4" s="2" t="s">
        <v>607</v>
      </c>
      <c r="F4" s="2" t="s">
        <v>608</v>
      </c>
      <c r="G4" s="2" t="s">
        <v>609</v>
      </c>
      <c r="H4" s="2"/>
    </row>
    <row r="5" spans="1:9" x14ac:dyDescent="0.3">
      <c r="A5" s="9" t="s">
        <v>614</v>
      </c>
      <c r="B5" s="2"/>
      <c r="C5" s="2"/>
      <c r="D5" s="2"/>
      <c r="E5" s="2"/>
      <c r="F5" s="2"/>
      <c r="G5" s="2"/>
      <c r="I5" s="36"/>
    </row>
    <row r="6" spans="1:9" x14ac:dyDescent="0.3">
      <c r="A6" s="18" t="s">
        <v>617</v>
      </c>
      <c r="B6" s="2"/>
      <c r="C6" s="2"/>
      <c r="D6" s="2"/>
      <c r="E6" s="2"/>
      <c r="F6" s="2">
        <v>110125.45</v>
      </c>
      <c r="G6" s="2">
        <v>110125.45</v>
      </c>
      <c r="H6" s="2"/>
      <c r="I6" s="18"/>
    </row>
    <row r="7" spans="1:9" x14ac:dyDescent="0.3">
      <c r="A7" s="18" t="s">
        <v>618</v>
      </c>
      <c r="B7" s="2"/>
      <c r="C7" s="2"/>
      <c r="D7" s="2"/>
      <c r="E7" s="2"/>
      <c r="F7" s="2">
        <v>175533.31</v>
      </c>
      <c r="G7" s="2">
        <v>175533.31</v>
      </c>
      <c r="H7" s="2"/>
      <c r="I7" s="18"/>
    </row>
    <row r="8" spans="1:9" x14ac:dyDescent="0.3">
      <c r="A8" s="18" t="s">
        <v>619</v>
      </c>
      <c r="B8" s="2"/>
      <c r="C8" s="2"/>
      <c r="D8" s="2"/>
      <c r="E8" s="2"/>
      <c r="F8" s="2">
        <v>160653.09</v>
      </c>
      <c r="G8" s="2">
        <v>160653.09</v>
      </c>
      <c r="H8" s="2"/>
      <c r="I8" s="18"/>
    </row>
    <row r="9" spans="1:9" x14ac:dyDescent="0.3">
      <c r="A9" s="18" t="s">
        <v>620</v>
      </c>
      <c r="B9" s="2"/>
      <c r="C9" s="2"/>
      <c r="D9" s="2"/>
      <c r="E9" s="2"/>
      <c r="F9" s="2">
        <v>148855.23000000001</v>
      </c>
      <c r="G9" s="2">
        <v>148855.23000000001</v>
      </c>
      <c r="H9" s="2"/>
      <c r="I9" s="18"/>
    </row>
    <row r="10" spans="1:9" x14ac:dyDescent="0.3">
      <c r="A10" s="18" t="s">
        <v>621</v>
      </c>
      <c r="B10" s="2"/>
      <c r="C10" s="2"/>
      <c r="D10" s="2"/>
      <c r="E10" s="2"/>
      <c r="F10" s="2">
        <v>118840.42</v>
      </c>
      <c r="G10" s="2">
        <v>118840.42</v>
      </c>
      <c r="H10" s="2"/>
      <c r="I10" s="18"/>
    </row>
    <row r="11" spans="1:9" x14ac:dyDescent="0.3">
      <c r="A11" s="18" t="s">
        <v>622</v>
      </c>
      <c r="B11" s="2"/>
      <c r="C11" s="2"/>
      <c r="D11" s="2"/>
      <c r="E11" s="2"/>
      <c r="F11" s="2">
        <v>145676.38</v>
      </c>
      <c r="G11" s="2">
        <v>145676.38</v>
      </c>
      <c r="H11" s="2"/>
      <c r="I11" s="18"/>
    </row>
    <row r="12" spans="1:9" x14ac:dyDescent="0.3">
      <c r="A12" s="18" t="s">
        <v>623</v>
      </c>
      <c r="B12" s="2"/>
      <c r="C12" s="2"/>
      <c r="D12" s="2"/>
      <c r="E12" s="2"/>
      <c r="F12" s="2">
        <v>157209.32</v>
      </c>
      <c r="G12" s="2">
        <v>157209.32</v>
      </c>
      <c r="H12" s="2"/>
      <c r="I12" s="18"/>
    </row>
    <row r="13" spans="1:9" x14ac:dyDescent="0.3">
      <c r="A13" s="18" t="s">
        <v>624</v>
      </c>
      <c r="B13" s="2"/>
      <c r="C13" s="2"/>
      <c r="D13" s="2"/>
      <c r="E13" s="2"/>
      <c r="F13" s="2">
        <v>167585.01</v>
      </c>
      <c r="G13" s="2">
        <v>167585.01</v>
      </c>
      <c r="H13" s="2"/>
      <c r="I13" s="18"/>
    </row>
    <row r="14" spans="1:9" x14ac:dyDescent="0.3">
      <c r="A14" s="18" t="s">
        <v>625</v>
      </c>
      <c r="B14" s="2"/>
      <c r="C14" s="2"/>
      <c r="D14" s="2"/>
      <c r="E14" s="2">
        <v>152864.54</v>
      </c>
      <c r="F14" s="2">
        <v>27676.240000000002</v>
      </c>
      <c r="G14" s="2">
        <v>180540.78</v>
      </c>
      <c r="H14" s="2"/>
      <c r="I14" s="18"/>
    </row>
    <row r="15" spans="1:9" x14ac:dyDescent="0.3">
      <c r="A15" s="18" t="s">
        <v>626</v>
      </c>
      <c r="B15" s="2"/>
      <c r="C15" s="2"/>
      <c r="D15" s="2">
        <v>61691.45</v>
      </c>
      <c r="E15" s="2">
        <v>87017.77</v>
      </c>
      <c r="F15" s="2"/>
      <c r="G15" s="2">
        <v>148709.22</v>
      </c>
      <c r="H15" s="2"/>
      <c r="I15" s="18"/>
    </row>
    <row r="16" spans="1:9" x14ac:dyDescent="0.3">
      <c r="A16" s="18" t="s">
        <v>627</v>
      </c>
      <c r="B16" s="2"/>
      <c r="C16" s="2"/>
      <c r="D16" s="2">
        <v>210508.24</v>
      </c>
      <c r="E16" s="2"/>
      <c r="F16" s="2"/>
      <c r="G16" s="2">
        <v>210508.24</v>
      </c>
      <c r="H16" s="2"/>
      <c r="I16" s="18"/>
    </row>
    <row r="17" spans="1:9" x14ac:dyDescent="0.3">
      <c r="A17" s="9" t="s">
        <v>615</v>
      </c>
      <c r="B17" s="2"/>
      <c r="C17" s="2"/>
      <c r="D17" s="2"/>
      <c r="E17" s="2"/>
      <c r="F17" s="2"/>
      <c r="G17" s="2"/>
      <c r="H17" s="2"/>
      <c r="I17" s="36"/>
    </row>
    <row r="18" spans="1:9" x14ac:dyDescent="0.3">
      <c r="A18" s="18" t="s">
        <v>616</v>
      </c>
      <c r="B18" s="2"/>
      <c r="C18" s="2">
        <v>149106.4</v>
      </c>
      <c r="D18" s="2"/>
      <c r="E18" s="2"/>
      <c r="F18" s="2"/>
      <c r="G18" s="2">
        <v>149106.4</v>
      </c>
      <c r="H18" s="2"/>
      <c r="I18" s="18"/>
    </row>
    <row r="19" spans="1:9" x14ac:dyDescent="0.3">
      <c r="A19" s="18" t="s">
        <v>617</v>
      </c>
      <c r="B19" s="2">
        <v>30061.59</v>
      </c>
      <c r="C19" s="2">
        <v>28520.19</v>
      </c>
      <c r="D19" s="2"/>
      <c r="E19" s="2"/>
      <c r="F19" s="2"/>
      <c r="G19" s="2">
        <v>58581.78</v>
      </c>
      <c r="H19" s="2"/>
      <c r="I19" s="18"/>
    </row>
    <row r="20" spans="1:9" x14ac:dyDescent="0.3">
      <c r="A20" s="18" t="s">
        <v>618</v>
      </c>
      <c r="B20" s="2">
        <v>72341.59</v>
      </c>
      <c r="C20" s="2"/>
      <c r="D20" s="2"/>
      <c r="E20" s="2"/>
      <c r="F20" s="2"/>
      <c r="G20" s="2">
        <v>72341.59</v>
      </c>
      <c r="H20" s="2"/>
      <c r="I20" s="18"/>
    </row>
    <row r="21" spans="1:9" x14ac:dyDescent="0.3">
      <c r="A21" s="18" t="s">
        <v>619</v>
      </c>
      <c r="B21" s="2">
        <v>84319.09</v>
      </c>
      <c r="C21" s="2"/>
      <c r="D21" s="2"/>
      <c r="E21" s="2"/>
      <c r="F21" s="2"/>
      <c r="G21" s="2">
        <v>84319.09</v>
      </c>
      <c r="H21" s="2"/>
      <c r="I21" s="18"/>
    </row>
    <row r="22" spans="1:9" x14ac:dyDescent="0.3">
      <c r="A22" s="18" t="s">
        <v>620</v>
      </c>
      <c r="B22" s="2">
        <v>71382.100000000006</v>
      </c>
      <c r="C22" s="2"/>
      <c r="D22" s="2"/>
      <c r="E22" s="2"/>
      <c r="F22" s="2"/>
      <c r="G22" s="2">
        <v>71382.100000000006</v>
      </c>
      <c r="H22" s="2"/>
      <c r="I22" s="18"/>
    </row>
    <row r="23" spans="1:9" x14ac:dyDescent="0.3">
      <c r="A23" s="18" t="s">
        <v>621</v>
      </c>
      <c r="B23" s="2">
        <v>101709.6</v>
      </c>
      <c r="C23" s="2"/>
      <c r="D23" s="2"/>
      <c r="E23" s="2"/>
      <c r="F23" s="2"/>
      <c r="G23" s="2">
        <v>101709.6</v>
      </c>
      <c r="H23" s="2"/>
      <c r="I23" s="18"/>
    </row>
    <row r="24" spans="1:9" x14ac:dyDescent="0.3">
      <c r="A24" s="18" t="s">
        <v>622</v>
      </c>
      <c r="B24" s="2">
        <v>94829.03</v>
      </c>
      <c r="C24" s="2"/>
      <c r="D24" s="2"/>
      <c r="E24" s="2"/>
      <c r="F24" s="2"/>
      <c r="G24" s="2">
        <v>94829.03</v>
      </c>
      <c r="H24" s="2"/>
      <c r="I24" s="18"/>
    </row>
    <row r="25" spans="1:9" x14ac:dyDescent="0.3">
      <c r="A25" s="18" t="s">
        <v>623</v>
      </c>
      <c r="B25" s="2">
        <v>29219.69</v>
      </c>
      <c r="C25" s="2"/>
      <c r="D25" s="2"/>
      <c r="E25" s="2"/>
      <c r="F25" s="2"/>
      <c r="G25" s="2">
        <v>29219.69</v>
      </c>
      <c r="H25" s="2"/>
      <c r="I25" s="18"/>
    </row>
    <row r="26" spans="1:9" x14ac:dyDescent="0.3">
      <c r="A26" s="9" t="s">
        <v>609</v>
      </c>
      <c r="B26" s="2">
        <v>483862.69</v>
      </c>
      <c r="C26" s="2">
        <v>177626.59</v>
      </c>
      <c r="D26" s="2">
        <v>272199.69</v>
      </c>
      <c r="E26" s="2">
        <v>239882.31</v>
      </c>
      <c r="F26" s="2">
        <v>1212154.45</v>
      </c>
      <c r="G26" s="2">
        <v>2385725.73</v>
      </c>
      <c r="H26" s="2"/>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BEE4-89BD-4F45-8746-54A568FBBB1E}">
  <dimension ref="A3:G10"/>
  <sheetViews>
    <sheetView workbookViewId="0">
      <selection activeCell="D38" sqref="D38"/>
    </sheetView>
  </sheetViews>
  <sheetFormatPr defaultRowHeight="14.4" x14ac:dyDescent="0.3"/>
  <cols>
    <col min="1" max="1" width="25.6640625" bestFit="1" customWidth="1"/>
    <col min="2" max="2" width="15.5546875" bestFit="1" customWidth="1"/>
    <col min="3" max="5" width="11.5546875" bestFit="1" customWidth="1"/>
    <col min="6" max="7" width="13.21875" bestFit="1" customWidth="1"/>
  </cols>
  <sheetData>
    <row r="3" spans="1:7" x14ac:dyDescent="0.3">
      <c r="A3" s="34" t="s">
        <v>629</v>
      </c>
      <c r="B3" s="34" t="s">
        <v>613</v>
      </c>
      <c r="C3" s="2"/>
      <c r="D3" s="2"/>
      <c r="E3" s="2"/>
      <c r="F3" s="2"/>
      <c r="G3" s="2"/>
    </row>
    <row r="4" spans="1:7" x14ac:dyDescent="0.3">
      <c r="A4" s="34" t="s">
        <v>612</v>
      </c>
      <c r="B4" s="2" t="s">
        <v>604</v>
      </c>
      <c r="C4" s="2" t="s">
        <v>605</v>
      </c>
      <c r="D4" s="2" t="s">
        <v>606</v>
      </c>
      <c r="E4" s="2" t="s">
        <v>607</v>
      </c>
      <c r="F4" s="2" t="s">
        <v>608</v>
      </c>
      <c r="G4" s="2" t="s">
        <v>609</v>
      </c>
    </row>
    <row r="5" spans="1:7" x14ac:dyDescent="0.3">
      <c r="A5" s="35" t="s">
        <v>593</v>
      </c>
      <c r="B5" s="2">
        <v>100647.2</v>
      </c>
      <c r="C5" s="2">
        <v>28146.48</v>
      </c>
      <c r="D5" s="2">
        <v>50265.36</v>
      </c>
      <c r="E5" s="2">
        <v>47405.87</v>
      </c>
      <c r="F5" s="2">
        <v>219120.39</v>
      </c>
      <c r="G5" s="2">
        <v>445585.3</v>
      </c>
    </row>
    <row r="6" spans="1:7" x14ac:dyDescent="0.3">
      <c r="A6" s="35" t="s">
        <v>595</v>
      </c>
      <c r="B6" s="2">
        <v>77904.22</v>
      </c>
      <c r="C6" s="2">
        <v>43900.59</v>
      </c>
      <c r="D6" s="2">
        <v>65848.009999999995</v>
      </c>
      <c r="E6" s="2">
        <v>35104.129999999997</v>
      </c>
      <c r="F6" s="2">
        <v>287289.64</v>
      </c>
      <c r="G6" s="2">
        <v>510046.59</v>
      </c>
    </row>
    <row r="7" spans="1:7" x14ac:dyDescent="0.3">
      <c r="A7" s="35" t="s">
        <v>594</v>
      </c>
      <c r="B7" s="2">
        <v>86101.77</v>
      </c>
      <c r="C7" s="2">
        <v>27348.13</v>
      </c>
      <c r="D7" s="2">
        <v>42425.29</v>
      </c>
      <c r="E7" s="2">
        <v>29447.38</v>
      </c>
      <c r="F7" s="2">
        <v>271689.89</v>
      </c>
      <c r="G7" s="2">
        <v>457012.46</v>
      </c>
    </row>
    <row r="8" spans="1:7" x14ac:dyDescent="0.3">
      <c r="A8" s="35" t="s">
        <v>591</v>
      </c>
      <c r="B8" s="2">
        <v>125615.3</v>
      </c>
      <c r="C8" s="2">
        <v>36288.6</v>
      </c>
      <c r="D8" s="2">
        <v>51317.29</v>
      </c>
      <c r="E8" s="2">
        <v>66359.64</v>
      </c>
      <c r="F8" s="2">
        <v>246343.92</v>
      </c>
      <c r="G8" s="2">
        <v>525924.75</v>
      </c>
    </row>
    <row r="9" spans="1:7" x14ac:dyDescent="0.3">
      <c r="A9" s="35" t="s">
        <v>592</v>
      </c>
      <c r="B9" s="2">
        <v>93594.2</v>
      </c>
      <c r="C9" s="2">
        <v>41942.79</v>
      </c>
      <c r="D9" s="2">
        <v>62343.74</v>
      </c>
      <c r="E9" s="2">
        <v>61565.29</v>
      </c>
      <c r="F9" s="2">
        <v>187710.61</v>
      </c>
      <c r="G9" s="2">
        <v>447156.63</v>
      </c>
    </row>
    <row r="10" spans="1:7" x14ac:dyDescent="0.3">
      <c r="A10" s="35" t="s">
        <v>609</v>
      </c>
      <c r="B10" s="2">
        <v>483862.69</v>
      </c>
      <c r="C10" s="2">
        <v>177626.59</v>
      </c>
      <c r="D10" s="2">
        <v>272199.69</v>
      </c>
      <c r="E10" s="2">
        <v>239882.31</v>
      </c>
      <c r="F10" s="2">
        <v>1212154.45</v>
      </c>
      <c r="G10" s="2">
        <v>2385725.73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124A-A4C5-45A5-AF39-565715D57464}">
  <dimension ref="A3:B25"/>
  <sheetViews>
    <sheetView workbookViewId="0">
      <selection activeCell="B25" sqref="B25"/>
    </sheetView>
  </sheetViews>
  <sheetFormatPr defaultRowHeight="14.4" x14ac:dyDescent="0.3"/>
  <cols>
    <col min="1" max="1" width="12.5546875" bestFit="1" customWidth="1"/>
    <col min="2" max="2" width="25.6640625" bestFit="1" customWidth="1"/>
    <col min="3" max="280" width="10.77734375" bestFit="1" customWidth="1"/>
    <col min="281" max="281" width="11" bestFit="1" customWidth="1"/>
  </cols>
  <sheetData>
    <row r="3" spans="1:2" x14ac:dyDescent="0.3">
      <c r="A3" s="34" t="s">
        <v>612</v>
      </c>
      <c r="B3" s="2" t="s">
        <v>629</v>
      </c>
    </row>
    <row r="4" spans="1:2" x14ac:dyDescent="0.3">
      <c r="A4" s="35" t="s">
        <v>614</v>
      </c>
      <c r="B4" s="2"/>
    </row>
    <row r="5" spans="1:2" x14ac:dyDescent="0.3">
      <c r="A5" s="37" t="s">
        <v>617</v>
      </c>
      <c r="B5" s="2">
        <v>110125.45</v>
      </c>
    </row>
    <row r="6" spans="1:2" x14ac:dyDescent="0.3">
      <c r="A6" s="37" t="s">
        <v>618</v>
      </c>
      <c r="B6" s="2">
        <v>175533.31</v>
      </c>
    </row>
    <row r="7" spans="1:2" x14ac:dyDescent="0.3">
      <c r="A7" s="37" t="s">
        <v>619</v>
      </c>
      <c r="B7" s="2">
        <v>160653.09</v>
      </c>
    </row>
    <row r="8" spans="1:2" x14ac:dyDescent="0.3">
      <c r="A8" s="37" t="s">
        <v>620</v>
      </c>
      <c r="B8" s="2">
        <v>148855.23000000001</v>
      </c>
    </row>
    <row r="9" spans="1:2" x14ac:dyDescent="0.3">
      <c r="A9" s="37" t="s">
        <v>621</v>
      </c>
      <c r="B9" s="2">
        <v>118840.42</v>
      </c>
    </row>
    <row r="10" spans="1:2" x14ac:dyDescent="0.3">
      <c r="A10" s="37" t="s">
        <v>622</v>
      </c>
      <c r="B10" s="2">
        <v>145676.38</v>
      </c>
    </row>
    <row r="11" spans="1:2" x14ac:dyDescent="0.3">
      <c r="A11" s="37" t="s">
        <v>623</v>
      </c>
      <c r="B11" s="2">
        <v>157209.32</v>
      </c>
    </row>
    <row r="12" spans="1:2" x14ac:dyDescent="0.3">
      <c r="A12" s="37" t="s">
        <v>624</v>
      </c>
      <c r="B12" s="2">
        <v>167585.01</v>
      </c>
    </row>
    <row r="13" spans="1:2" x14ac:dyDescent="0.3">
      <c r="A13" s="37" t="s">
        <v>625</v>
      </c>
      <c r="B13" s="2">
        <v>180540.78</v>
      </c>
    </row>
    <row r="14" spans="1:2" x14ac:dyDescent="0.3">
      <c r="A14" s="37" t="s">
        <v>626</v>
      </c>
      <c r="B14" s="2">
        <v>148709.22</v>
      </c>
    </row>
    <row r="15" spans="1:2" x14ac:dyDescent="0.3">
      <c r="A15" s="37" t="s">
        <v>627</v>
      </c>
      <c r="B15" s="2">
        <v>210508.24</v>
      </c>
    </row>
    <row r="16" spans="1:2" x14ac:dyDescent="0.3">
      <c r="A16" s="35" t="s">
        <v>615</v>
      </c>
      <c r="B16" s="2"/>
    </row>
    <row r="17" spans="1:2" x14ac:dyDescent="0.3">
      <c r="A17" s="37" t="s">
        <v>616</v>
      </c>
      <c r="B17" s="2">
        <v>149106.4</v>
      </c>
    </row>
    <row r="18" spans="1:2" x14ac:dyDescent="0.3">
      <c r="A18" s="37" t="s">
        <v>617</v>
      </c>
      <c r="B18" s="2">
        <v>58581.78</v>
      </c>
    </row>
    <row r="19" spans="1:2" x14ac:dyDescent="0.3">
      <c r="A19" s="37" t="s">
        <v>618</v>
      </c>
      <c r="B19" s="2">
        <v>72341.59</v>
      </c>
    </row>
    <row r="20" spans="1:2" x14ac:dyDescent="0.3">
      <c r="A20" s="37" t="s">
        <v>619</v>
      </c>
      <c r="B20" s="2">
        <v>84319.09</v>
      </c>
    </row>
    <row r="21" spans="1:2" x14ac:dyDescent="0.3">
      <c r="A21" s="37" t="s">
        <v>620</v>
      </c>
      <c r="B21" s="2">
        <v>71382.100000000006</v>
      </c>
    </row>
    <row r="22" spans="1:2" x14ac:dyDescent="0.3">
      <c r="A22" s="37" t="s">
        <v>621</v>
      </c>
      <c r="B22" s="2">
        <v>101709.6</v>
      </c>
    </row>
    <row r="23" spans="1:2" x14ac:dyDescent="0.3">
      <c r="A23" s="37" t="s">
        <v>622</v>
      </c>
      <c r="B23" s="2">
        <v>94829.03</v>
      </c>
    </row>
    <row r="24" spans="1:2" x14ac:dyDescent="0.3">
      <c r="A24" s="37" t="s">
        <v>623</v>
      </c>
      <c r="B24" s="2">
        <v>29219.69</v>
      </c>
    </row>
    <row r="25" spans="1:2" x14ac:dyDescent="0.3">
      <c r="A25" s="35" t="s">
        <v>609</v>
      </c>
      <c r="B25" s="2">
        <v>2385725.73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2"/>
  <sheetViews>
    <sheetView topLeftCell="A2" zoomScale="70" zoomScaleNormal="70" workbookViewId="0">
      <selection activeCell="F16" sqref="F16"/>
    </sheetView>
  </sheetViews>
  <sheetFormatPr defaultRowHeight="14.4" x14ac:dyDescent="0.3"/>
  <cols>
    <col min="1" max="1" width="10.6640625" bestFit="1" customWidth="1"/>
    <col min="2" max="2" width="14.88671875" bestFit="1" customWidth="1"/>
    <col min="3" max="3" width="16.77734375" style="1" bestFit="1" customWidth="1"/>
    <col min="4" max="4" width="14" style="1" bestFit="1" customWidth="1"/>
    <col min="5" max="5" width="25.77734375" style="2" bestFit="1" customWidth="1"/>
    <col min="6" max="6" width="18.5546875" style="19" bestFit="1" customWidth="1"/>
    <col min="7" max="7" width="19.5546875" bestFit="1" customWidth="1"/>
    <col min="9" max="9" width="17.77734375" bestFit="1" customWidth="1"/>
    <col min="10" max="10" width="15.88671875" customWidth="1"/>
  </cols>
  <sheetData>
    <row r="1" spans="1:10" ht="15" thickBot="1" x14ac:dyDescent="0.35">
      <c r="A1" s="4" t="s">
        <v>597</v>
      </c>
      <c r="B1" s="4" t="s">
        <v>598</v>
      </c>
      <c r="C1" s="5" t="s">
        <v>599</v>
      </c>
      <c r="D1" s="5" t="s">
        <v>600</v>
      </c>
      <c r="E1" s="6" t="s">
        <v>628</v>
      </c>
      <c r="F1" s="28" t="s">
        <v>601</v>
      </c>
      <c r="G1" s="29" t="s">
        <v>602</v>
      </c>
      <c r="I1" s="3" t="s">
        <v>596</v>
      </c>
      <c r="J1">
        <v>30</v>
      </c>
    </row>
    <row r="2" spans="1:10" ht="15" thickTop="1" x14ac:dyDescent="0.3">
      <c r="A2" s="20" t="s">
        <v>0</v>
      </c>
      <c r="B2" s="21" t="s">
        <v>591</v>
      </c>
      <c r="C2" s="22">
        <v>45888</v>
      </c>
      <c r="D2" s="22">
        <f>WORKDAY(AR_table!$C2,$J$1)</f>
        <v>45930</v>
      </c>
      <c r="E2" s="23">
        <v>6160.48</v>
      </c>
      <c r="F2" s="24">
        <f ca="1">IF(AR_table!$D2&gt;=TODAY(),0,NETWORKDAYS(AR_table!$D2,TODAY()))</f>
        <v>97</v>
      </c>
      <c r="G2" s="21" t="str">
        <f ca="1">VLOOKUP(AR_table!$F2,aging_bucket[#All],2)</f>
        <v>&gt;90</v>
      </c>
    </row>
    <row r="3" spans="1:10" x14ac:dyDescent="0.3">
      <c r="A3" s="25" t="s">
        <v>1</v>
      </c>
      <c r="B3" s="13" t="s">
        <v>592</v>
      </c>
      <c r="C3" s="26">
        <v>46113</v>
      </c>
      <c r="D3" s="26">
        <f>WORKDAY(AR_table!$C3,$J$1)</f>
        <v>46155</v>
      </c>
      <c r="E3" s="27">
        <v>995.04</v>
      </c>
      <c r="F3" s="10">
        <f ca="1">IF(AR_table!$D3&gt;=TODAY(),0,NETWORKDAYS(AR_table!$D3,TODAY()))</f>
        <v>0</v>
      </c>
      <c r="G3" s="13" t="str">
        <f ca="1">VLOOKUP(AR_table!$F3,aging_bucket[#All],2)</f>
        <v>Not due</v>
      </c>
      <c r="I3" t="s">
        <v>603</v>
      </c>
      <c r="J3" t="s">
        <v>610</v>
      </c>
    </row>
    <row r="4" spans="1:10" x14ac:dyDescent="0.3">
      <c r="A4" s="12" t="s">
        <v>2</v>
      </c>
      <c r="B4" s="10" t="s">
        <v>591</v>
      </c>
      <c r="C4" s="14">
        <v>46016</v>
      </c>
      <c r="D4" s="14">
        <f>WORKDAY(AR_table!$C4,$J$1)</f>
        <v>46058</v>
      </c>
      <c r="E4" s="15">
        <v>3936.29</v>
      </c>
      <c r="F4" s="10">
        <f ca="1">IF(AR_table!$D4&gt;=TODAY(),0,NETWORKDAYS(AR_table!$D4,TODAY()))</f>
        <v>5</v>
      </c>
      <c r="G4" s="10" t="str">
        <f ca="1">VLOOKUP(AR_table!$F4,aging_bucket[#All],2)</f>
        <v>1-30</v>
      </c>
      <c r="I4">
        <v>0</v>
      </c>
      <c r="J4" t="s">
        <v>604</v>
      </c>
    </row>
    <row r="5" spans="1:10" x14ac:dyDescent="0.3">
      <c r="A5" s="25" t="s">
        <v>3</v>
      </c>
      <c r="B5" s="13" t="s">
        <v>594</v>
      </c>
      <c r="C5" s="26">
        <v>45806</v>
      </c>
      <c r="D5" s="26">
        <f>WORKDAY(AR_table!$C5,$J$1)</f>
        <v>45848</v>
      </c>
      <c r="E5" s="27">
        <v>6985.23</v>
      </c>
      <c r="F5" s="10">
        <f ca="1">IF(AR_table!$D5&gt;=TODAY(),0,NETWORKDAYS(AR_table!$D5,TODAY()))</f>
        <v>155</v>
      </c>
      <c r="G5" s="13" t="str">
        <f ca="1">VLOOKUP(AR_table!$F5,aging_bucket[#All],2)</f>
        <v>&gt;90</v>
      </c>
      <c r="I5">
        <v>1</v>
      </c>
      <c r="J5" s="7" t="s">
        <v>605</v>
      </c>
    </row>
    <row r="6" spans="1:10" x14ac:dyDescent="0.3">
      <c r="A6" s="25" t="s">
        <v>4</v>
      </c>
      <c r="B6" s="13" t="s">
        <v>595</v>
      </c>
      <c r="C6" s="26">
        <v>45964</v>
      </c>
      <c r="D6" s="26">
        <f>WORKDAY(AR_table!$C6,$J$1)</f>
        <v>46006</v>
      </c>
      <c r="E6" s="27">
        <v>4099.3</v>
      </c>
      <c r="F6" s="10">
        <f ca="1">IF(AR_table!$D6&gt;=TODAY(),0,NETWORKDAYS(AR_table!$D6,TODAY()))</f>
        <v>43</v>
      </c>
      <c r="G6" s="13" t="str">
        <f ca="1">VLOOKUP(AR_table!$F6,aging_bucket[#All],2)</f>
        <v>31-60</v>
      </c>
      <c r="I6">
        <v>31</v>
      </c>
      <c r="J6" t="s">
        <v>606</v>
      </c>
    </row>
    <row r="7" spans="1:10" x14ac:dyDescent="0.3">
      <c r="A7" s="25" t="s">
        <v>5</v>
      </c>
      <c r="B7" s="13" t="s">
        <v>595</v>
      </c>
      <c r="C7" s="26">
        <v>46002</v>
      </c>
      <c r="D7" s="26">
        <f>WORKDAY(AR_table!$C7,$J$1)</f>
        <v>46044</v>
      </c>
      <c r="E7" s="27">
        <v>2670.06</v>
      </c>
      <c r="F7" s="10">
        <f ca="1">IF(AR_table!$D7&gt;=TODAY(),0,NETWORKDAYS(AR_table!$D7,TODAY()))</f>
        <v>15</v>
      </c>
      <c r="G7" s="13" t="str">
        <f ca="1">VLOOKUP(AR_table!$F7,aging_bucket[#All],2)</f>
        <v>1-30</v>
      </c>
      <c r="I7">
        <v>61</v>
      </c>
      <c r="J7" t="s">
        <v>607</v>
      </c>
    </row>
    <row r="8" spans="1:10" x14ac:dyDescent="0.3">
      <c r="A8" s="12" t="s">
        <v>6</v>
      </c>
      <c r="B8" s="10" t="s">
        <v>593</v>
      </c>
      <c r="C8" s="14">
        <v>45894</v>
      </c>
      <c r="D8" s="14">
        <f>WORKDAY(AR_table!$C8,$J$1)</f>
        <v>45936</v>
      </c>
      <c r="E8" s="15">
        <v>3602.98</v>
      </c>
      <c r="F8" s="10">
        <f ca="1">IF(AR_table!$D8&gt;=TODAY(),0,NETWORKDAYS(AR_table!$D8,TODAY()))</f>
        <v>93</v>
      </c>
      <c r="G8" s="10" t="str">
        <f ca="1">VLOOKUP(AR_table!$F8,aging_bucket[#All],2)</f>
        <v>&gt;90</v>
      </c>
      <c r="I8">
        <v>91</v>
      </c>
      <c r="J8" t="s">
        <v>608</v>
      </c>
    </row>
    <row r="9" spans="1:10" x14ac:dyDescent="0.3">
      <c r="A9" s="25" t="s">
        <v>7</v>
      </c>
      <c r="B9" s="13" t="s">
        <v>592</v>
      </c>
      <c r="C9" s="26">
        <v>45996</v>
      </c>
      <c r="D9" s="26">
        <f>WORKDAY(AR_table!$C9,$J$1)</f>
        <v>46038</v>
      </c>
      <c r="E9" s="27">
        <v>1107.56</v>
      </c>
      <c r="F9" s="10">
        <f ca="1">IF(AR_table!$D9&gt;=TODAY(),0,NETWORKDAYS(AR_table!$D9,TODAY()))</f>
        <v>19</v>
      </c>
      <c r="G9" s="13" t="str">
        <f ca="1">VLOOKUP(AR_table!$F9,aging_bucket[#All],2)</f>
        <v>1-30</v>
      </c>
    </row>
    <row r="10" spans="1:10" x14ac:dyDescent="0.3">
      <c r="A10" s="25" t="s">
        <v>8</v>
      </c>
      <c r="B10" s="13" t="s">
        <v>593</v>
      </c>
      <c r="C10" s="26">
        <v>46085</v>
      </c>
      <c r="D10" s="26">
        <f>WORKDAY(AR_table!$C10,$J$1)</f>
        <v>46127</v>
      </c>
      <c r="E10" s="27">
        <v>1209.22</v>
      </c>
      <c r="F10" s="10">
        <f ca="1">IF(AR_table!$D10&gt;=TODAY(),0,NETWORKDAYS(AR_table!$D10,TODAY()))</f>
        <v>0</v>
      </c>
      <c r="G10" s="13" t="str">
        <f ca="1">VLOOKUP(AR_table!$F10,aging_bucket[#All],2)</f>
        <v>Not due</v>
      </c>
    </row>
    <row r="11" spans="1:10" x14ac:dyDescent="0.3">
      <c r="A11" s="12" t="s">
        <v>9</v>
      </c>
      <c r="B11" s="10" t="s">
        <v>592</v>
      </c>
      <c r="C11" s="14">
        <v>45776</v>
      </c>
      <c r="D11" s="14">
        <f>WORKDAY(AR_table!$C11,$J$1)</f>
        <v>45818</v>
      </c>
      <c r="E11" s="15">
        <v>1688.61</v>
      </c>
      <c r="F11" s="10">
        <f ca="1">IF(AR_table!$D11&gt;=TODAY(),0,NETWORKDAYS(AR_table!$D11,TODAY()))</f>
        <v>177</v>
      </c>
      <c r="G11" s="10" t="str">
        <f ca="1">VLOOKUP(AR_table!$F11,aging_bucket[#All],2)</f>
        <v>&gt;90</v>
      </c>
    </row>
    <row r="12" spans="1:10" x14ac:dyDescent="0.3">
      <c r="A12" s="12" t="s">
        <v>10</v>
      </c>
      <c r="B12" s="10" t="s">
        <v>594</v>
      </c>
      <c r="C12" s="14">
        <v>46158</v>
      </c>
      <c r="D12" s="14">
        <f>WORKDAY(AR_table!$C12,$J$1)</f>
        <v>46199</v>
      </c>
      <c r="E12" s="15">
        <v>4357.75</v>
      </c>
      <c r="F12" s="10">
        <f ca="1">IF(AR_table!$D12&gt;=TODAY(),0,NETWORKDAYS(AR_table!$D12,TODAY()))</f>
        <v>0</v>
      </c>
      <c r="G12" s="10" t="str">
        <f ca="1">VLOOKUP(AR_table!$F12,aging_bucket[#All],2)</f>
        <v>Not due</v>
      </c>
    </row>
    <row r="13" spans="1:10" x14ac:dyDescent="0.3">
      <c r="A13" s="12" t="s">
        <v>11</v>
      </c>
      <c r="B13" s="10" t="s">
        <v>593</v>
      </c>
      <c r="C13" s="14">
        <v>45756</v>
      </c>
      <c r="D13" s="14">
        <f>WORKDAY(AR_table!$C13,$J$1)</f>
        <v>45798</v>
      </c>
      <c r="E13" s="15">
        <v>3074.66</v>
      </c>
      <c r="F13" s="10">
        <f ca="1">IF(AR_table!$D13&gt;=TODAY(),0,NETWORKDAYS(AR_table!$D13,TODAY()))</f>
        <v>191</v>
      </c>
      <c r="G13" s="10" t="str">
        <f ca="1">VLOOKUP(AR_table!$F13,aging_bucket[#All],2)</f>
        <v>&gt;90</v>
      </c>
    </row>
    <row r="14" spans="1:10" x14ac:dyDescent="0.3">
      <c r="A14" s="25" t="s">
        <v>12</v>
      </c>
      <c r="B14" s="13" t="s">
        <v>594</v>
      </c>
      <c r="C14" s="26">
        <v>45785</v>
      </c>
      <c r="D14" s="26">
        <f>WORKDAY(AR_table!$C14,$J$1)</f>
        <v>45827</v>
      </c>
      <c r="E14" s="27">
        <v>7987.42</v>
      </c>
      <c r="F14" s="10">
        <f ca="1">IF(AR_table!$D14&gt;=TODAY(),0,NETWORKDAYS(AR_table!$D14,TODAY()))</f>
        <v>170</v>
      </c>
      <c r="G14" s="13" t="str">
        <f ca="1">VLOOKUP(AR_table!$F14,aging_bucket[#All],2)</f>
        <v>&gt;90</v>
      </c>
    </row>
    <row r="15" spans="1:10" x14ac:dyDescent="0.3">
      <c r="A15" s="25" t="s">
        <v>13</v>
      </c>
      <c r="B15" s="13" t="s">
        <v>593</v>
      </c>
      <c r="C15" s="26">
        <v>45846</v>
      </c>
      <c r="D15" s="26">
        <f>WORKDAY(AR_table!$C15,$J$1)</f>
        <v>45888</v>
      </c>
      <c r="E15" s="27">
        <v>5384.07</v>
      </c>
      <c r="F15" s="10">
        <f ca="1">IF(AR_table!$D15&gt;=TODAY(),0,NETWORKDAYS(AR_table!$D15,TODAY()))</f>
        <v>127</v>
      </c>
      <c r="G15" s="13" t="str">
        <f ca="1">VLOOKUP(AR_table!$F15,aging_bucket[#All],2)</f>
        <v>&gt;90</v>
      </c>
    </row>
    <row r="16" spans="1:10" x14ac:dyDescent="0.3">
      <c r="A16" s="12" t="s">
        <v>14</v>
      </c>
      <c r="B16" s="10" t="s">
        <v>591</v>
      </c>
      <c r="C16" s="14">
        <v>45852</v>
      </c>
      <c r="D16" s="14">
        <f>WORKDAY(AR_table!$C16,$J$1)</f>
        <v>45894</v>
      </c>
      <c r="E16" s="15">
        <v>5931.01</v>
      </c>
      <c r="F16" s="10">
        <f ca="1">IF(AR_table!$D16&gt;=TODAY(),0,NETWORKDAYS(AR_table!$D16,TODAY()))</f>
        <v>123</v>
      </c>
      <c r="G16" s="10" t="str">
        <f ca="1">VLOOKUP(AR_table!$F16,aging_bucket[#All],2)</f>
        <v>&gt;90</v>
      </c>
    </row>
    <row r="17" spans="1:7" x14ac:dyDescent="0.3">
      <c r="A17" s="25" t="s">
        <v>15</v>
      </c>
      <c r="B17" s="13" t="s">
        <v>592</v>
      </c>
      <c r="C17" s="26">
        <v>45904</v>
      </c>
      <c r="D17" s="26">
        <f>WORKDAY(AR_table!$C17,$J$1)</f>
        <v>45946</v>
      </c>
      <c r="E17" s="27">
        <v>7959.18</v>
      </c>
      <c r="F17" s="10">
        <f ca="1">IF(AR_table!$D17&gt;=TODAY(),0,NETWORKDAYS(AR_table!$D17,TODAY()))</f>
        <v>85</v>
      </c>
      <c r="G17" s="13" t="str">
        <f ca="1">VLOOKUP(AR_table!$F17,aging_bucket[#All],2)</f>
        <v>61-90</v>
      </c>
    </row>
    <row r="18" spans="1:7" x14ac:dyDescent="0.3">
      <c r="A18" s="12" t="s">
        <v>16</v>
      </c>
      <c r="B18" s="10" t="s">
        <v>595</v>
      </c>
      <c r="C18" s="14">
        <v>45846</v>
      </c>
      <c r="D18" s="14">
        <f>WORKDAY(AR_table!$C18,$J$1)</f>
        <v>45888</v>
      </c>
      <c r="E18" s="15">
        <v>5981.13</v>
      </c>
      <c r="F18" s="10">
        <f ca="1">IF(AR_table!$D18&gt;=TODAY(),0,NETWORKDAYS(AR_table!$D18,TODAY()))</f>
        <v>127</v>
      </c>
      <c r="G18" s="10" t="str">
        <f ca="1">VLOOKUP(AR_table!$F18,aging_bucket[#All],2)</f>
        <v>&gt;90</v>
      </c>
    </row>
    <row r="19" spans="1:7" x14ac:dyDescent="0.3">
      <c r="A19" s="12" t="s">
        <v>17</v>
      </c>
      <c r="B19" s="10" t="s">
        <v>591</v>
      </c>
      <c r="C19" s="14">
        <v>45818</v>
      </c>
      <c r="D19" s="14">
        <f>WORKDAY(AR_table!$C19,$J$1)</f>
        <v>45860</v>
      </c>
      <c r="E19" s="15">
        <v>7898.89</v>
      </c>
      <c r="F19" s="10">
        <f ca="1">IF(AR_table!$D19&gt;=TODAY(),0,NETWORKDAYS(AR_table!$D19,TODAY()))</f>
        <v>147</v>
      </c>
      <c r="G19" s="10" t="str">
        <f ca="1">VLOOKUP(AR_table!$F19,aging_bucket[#All],2)</f>
        <v>&gt;90</v>
      </c>
    </row>
    <row r="20" spans="1:7" x14ac:dyDescent="0.3">
      <c r="A20" s="25" t="s">
        <v>18</v>
      </c>
      <c r="B20" s="13" t="s">
        <v>593</v>
      </c>
      <c r="C20" s="26">
        <v>45911</v>
      </c>
      <c r="D20" s="26">
        <f>WORKDAY(AR_table!$C20,$J$1)</f>
        <v>45953</v>
      </c>
      <c r="E20" s="27">
        <v>3210.82</v>
      </c>
      <c r="F20" s="10">
        <f ca="1">IF(AR_table!$D20&gt;=TODAY(),0,NETWORKDAYS(AR_table!$D20,TODAY()))</f>
        <v>80</v>
      </c>
      <c r="G20" s="13" t="str">
        <f ca="1">VLOOKUP(AR_table!$F20,aging_bucket[#All],2)</f>
        <v>61-90</v>
      </c>
    </row>
    <row r="21" spans="1:7" x14ac:dyDescent="0.3">
      <c r="A21" s="12" t="s">
        <v>19</v>
      </c>
      <c r="B21" s="10" t="s">
        <v>594</v>
      </c>
      <c r="C21" s="14">
        <v>45792</v>
      </c>
      <c r="D21" s="14">
        <f>WORKDAY(AR_table!$C21,$J$1)</f>
        <v>45834</v>
      </c>
      <c r="E21" s="15">
        <v>546.96</v>
      </c>
      <c r="F21" s="10">
        <f ca="1">IF(AR_table!$D21&gt;=TODAY(),0,NETWORKDAYS(AR_table!$D21,TODAY()))</f>
        <v>165</v>
      </c>
      <c r="G21" s="10" t="str">
        <f ca="1">VLOOKUP(AR_table!$F21,aging_bucket[#All],2)</f>
        <v>&gt;90</v>
      </c>
    </row>
    <row r="22" spans="1:7" x14ac:dyDescent="0.3">
      <c r="A22" s="12" t="s">
        <v>20</v>
      </c>
      <c r="B22" s="10" t="s">
        <v>593</v>
      </c>
      <c r="C22" s="14">
        <v>46064</v>
      </c>
      <c r="D22" s="14">
        <f>WORKDAY(AR_table!$C22,$J$1)</f>
        <v>46106</v>
      </c>
      <c r="E22" s="15">
        <v>7548.8</v>
      </c>
      <c r="F22" s="10">
        <f ca="1">IF(AR_table!$D22&gt;=TODAY(),0,NETWORKDAYS(AR_table!$D22,TODAY()))</f>
        <v>0</v>
      </c>
      <c r="G22" s="10" t="str">
        <f ca="1">VLOOKUP(AR_table!$F22,aging_bucket[#All],2)</f>
        <v>Not due</v>
      </c>
    </row>
    <row r="23" spans="1:7" x14ac:dyDescent="0.3">
      <c r="A23" s="25" t="s">
        <v>21</v>
      </c>
      <c r="B23" s="13" t="s">
        <v>591</v>
      </c>
      <c r="C23" s="26">
        <v>45984</v>
      </c>
      <c r="D23" s="26">
        <f>WORKDAY(AR_table!$C23,$J$1)</f>
        <v>46024</v>
      </c>
      <c r="E23" s="27">
        <v>634.25</v>
      </c>
      <c r="F23" s="10">
        <f ca="1">IF(AR_table!$D23&gt;=TODAY(),0,NETWORKDAYS(AR_table!$D23,TODAY()))</f>
        <v>29</v>
      </c>
      <c r="G23" s="13" t="str">
        <f ca="1">VLOOKUP(AR_table!$F23,aging_bucket[#All],2)</f>
        <v>1-30</v>
      </c>
    </row>
    <row r="24" spans="1:7" x14ac:dyDescent="0.3">
      <c r="A24" s="25" t="s">
        <v>22</v>
      </c>
      <c r="B24" s="13" t="s">
        <v>595</v>
      </c>
      <c r="C24" s="26">
        <v>46007</v>
      </c>
      <c r="D24" s="26">
        <f>WORKDAY(AR_table!$C24,$J$1)</f>
        <v>46049</v>
      </c>
      <c r="E24" s="27">
        <v>1711.81</v>
      </c>
      <c r="F24" s="10">
        <f ca="1">IF(AR_table!$D24&gt;=TODAY(),0,NETWORKDAYS(AR_table!$D24,TODAY()))</f>
        <v>12</v>
      </c>
      <c r="G24" s="13" t="str">
        <f ca="1">VLOOKUP(AR_table!$F24,aging_bucket[#All],2)</f>
        <v>1-30</v>
      </c>
    </row>
    <row r="25" spans="1:7" x14ac:dyDescent="0.3">
      <c r="A25" s="12" t="s">
        <v>23</v>
      </c>
      <c r="B25" s="10" t="s">
        <v>592</v>
      </c>
      <c r="C25" s="14">
        <v>45961</v>
      </c>
      <c r="D25" s="14">
        <f>WORKDAY(AR_table!$C25,$J$1)</f>
        <v>46003</v>
      </c>
      <c r="E25" s="15">
        <v>6942.78</v>
      </c>
      <c r="F25" s="10">
        <f ca="1">IF(AR_table!$D25&gt;=TODAY(),0,NETWORKDAYS(AR_table!$D25,TODAY()))</f>
        <v>44</v>
      </c>
      <c r="G25" s="10" t="str">
        <f ca="1">VLOOKUP(AR_table!$F25,aging_bucket[#All],2)</f>
        <v>31-60</v>
      </c>
    </row>
    <row r="26" spans="1:7" x14ac:dyDescent="0.3">
      <c r="A26" s="25" t="s">
        <v>24</v>
      </c>
      <c r="B26" s="13" t="s">
        <v>593</v>
      </c>
      <c r="C26" s="26">
        <v>45874</v>
      </c>
      <c r="D26" s="26">
        <f>WORKDAY(AR_table!$C26,$J$1)</f>
        <v>45916</v>
      </c>
      <c r="E26" s="27">
        <v>7098.74</v>
      </c>
      <c r="F26" s="10">
        <f ca="1">IF(AR_table!$D26&gt;=TODAY(),0,NETWORKDAYS(AR_table!$D26,TODAY()))</f>
        <v>107</v>
      </c>
      <c r="G26" s="13" t="str">
        <f ca="1">VLOOKUP(AR_table!$F26,aging_bucket[#All],2)</f>
        <v>&gt;90</v>
      </c>
    </row>
    <row r="27" spans="1:7" x14ac:dyDescent="0.3">
      <c r="A27" s="25" t="s">
        <v>25</v>
      </c>
      <c r="B27" s="13" t="s">
        <v>594</v>
      </c>
      <c r="C27" s="26">
        <v>45943</v>
      </c>
      <c r="D27" s="26">
        <f>WORKDAY(AR_table!$C27,$J$1)</f>
        <v>45985</v>
      </c>
      <c r="E27" s="27">
        <v>6438.74</v>
      </c>
      <c r="F27" s="10">
        <f ca="1">IF(AR_table!$D27&gt;=TODAY(),0,NETWORKDAYS(AR_table!$D27,TODAY()))</f>
        <v>58</v>
      </c>
      <c r="G27" s="13" t="str">
        <f ca="1">VLOOKUP(AR_table!$F27,aging_bucket[#All],2)</f>
        <v>31-60</v>
      </c>
    </row>
    <row r="28" spans="1:7" x14ac:dyDescent="0.3">
      <c r="A28" s="25" t="s">
        <v>26</v>
      </c>
      <c r="B28" s="13" t="s">
        <v>595</v>
      </c>
      <c r="C28" s="26">
        <v>45840</v>
      </c>
      <c r="D28" s="26">
        <f>WORKDAY(AR_table!$C28,$J$1)</f>
        <v>45882</v>
      </c>
      <c r="E28" s="27">
        <v>5121.3</v>
      </c>
      <c r="F28" s="10">
        <f ca="1">IF(AR_table!$D28&gt;=TODAY(),0,NETWORKDAYS(AR_table!$D28,TODAY()))</f>
        <v>131</v>
      </c>
      <c r="G28" s="13" t="str">
        <f ca="1">VLOOKUP(AR_table!$F28,aging_bucket[#All],2)</f>
        <v>&gt;90</v>
      </c>
    </row>
    <row r="29" spans="1:7" x14ac:dyDescent="0.3">
      <c r="A29" s="12" t="s">
        <v>27</v>
      </c>
      <c r="B29" s="10" t="s">
        <v>592</v>
      </c>
      <c r="C29" s="14">
        <v>46119</v>
      </c>
      <c r="D29" s="14">
        <f>WORKDAY(AR_table!$C29,$J$1)</f>
        <v>46161</v>
      </c>
      <c r="E29" s="15">
        <v>1325.15</v>
      </c>
      <c r="F29" s="10">
        <f ca="1">IF(AR_table!$D29&gt;=TODAY(),0,NETWORKDAYS(AR_table!$D29,TODAY()))</f>
        <v>0</v>
      </c>
      <c r="G29" s="10" t="str">
        <f ca="1">VLOOKUP(AR_table!$F29,aging_bucket[#All],2)</f>
        <v>Not due</v>
      </c>
    </row>
    <row r="30" spans="1:7" x14ac:dyDescent="0.3">
      <c r="A30" s="25" t="s">
        <v>28</v>
      </c>
      <c r="B30" s="13" t="s">
        <v>595</v>
      </c>
      <c r="C30" s="26">
        <v>45969</v>
      </c>
      <c r="D30" s="26">
        <f>WORKDAY(AR_table!$C30,$J$1)</f>
        <v>46010</v>
      </c>
      <c r="E30" s="27">
        <v>2200.8200000000002</v>
      </c>
      <c r="F30" s="10">
        <f ca="1">IF(AR_table!$D30&gt;=TODAY(),0,NETWORKDAYS(AR_table!$D30,TODAY()))</f>
        <v>39</v>
      </c>
      <c r="G30" s="13" t="str">
        <f ca="1">VLOOKUP(AR_table!$F30,aging_bucket[#All],2)</f>
        <v>31-60</v>
      </c>
    </row>
    <row r="31" spans="1:7" x14ac:dyDescent="0.3">
      <c r="A31" s="25" t="s">
        <v>29</v>
      </c>
      <c r="B31" s="13" t="s">
        <v>592</v>
      </c>
      <c r="C31" s="26">
        <v>45839</v>
      </c>
      <c r="D31" s="26">
        <f>WORKDAY(AR_table!$C31,$J$1)</f>
        <v>45881</v>
      </c>
      <c r="E31" s="27">
        <v>3180.12</v>
      </c>
      <c r="F31" s="10">
        <f ca="1">IF(AR_table!$D31&gt;=TODAY(),0,NETWORKDAYS(AR_table!$D31,TODAY()))</f>
        <v>132</v>
      </c>
      <c r="G31" s="13" t="str">
        <f ca="1">VLOOKUP(AR_table!$F31,aging_bucket[#All],2)</f>
        <v>&gt;90</v>
      </c>
    </row>
    <row r="32" spans="1:7" x14ac:dyDescent="0.3">
      <c r="A32" s="12" t="s">
        <v>30</v>
      </c>
      <c r="B32" s="10" t="s">
        <v>593</v>
      </c>
      <c r="C32" s="14">
        <v>46094</v>
      </c>
      <c r="D32" s="14">
        <f>WORKDAY(AR_table!$C32,$J$1)</f>
        <v>46136</v>
      </c>
      <c r="E32" s="15">
        <v>699.9</v>
      </c>
      <c r="F32" s="10">
        <f ca="1">IF(AR_table!$D32&gt;=TODAY(),0,NETWORKDAYS(AR_table!$D32,TODAY()))</f>
        <v>0</v>
      </c>
      <c r="G32" s="10" t="str">
        <f ca="1">VLOOKUP(AR_table!$F32,aging_bucket[#All],2)</f>
        <v>Not due</v>
      </c>
    </row>
    <row r="33" spans="1:7" x14ac:dyDescent="0.3">
      <c r="A33" s="25" t="s">
        <v>31</v>
      </c>
      <c r="B33" s="13" t="s">
        <v>594</v>
      </c>
      <c r="C33" s="26">
        <v>45802</v>
      </c>
      <c r="D33" s="26">
        <f>WORKDAY(AR_table!$C33,$J$1)</f>
        <v>45842</v>
      </c>
      <c r="E33" s="27">
        <v>498.51</v>
      </c>
      <c r="F33" s="10">
        <f ca="1">IF(AR_table!$D33&gt;=TODAY(),0,NETWORKDAYS(AR_table!$D33,TODAY()))</f>
        <v>159</v>
      </c>
      <c r="G33" s="13" t="str">
        <f ca="1">VLOOKUP(AR_table!$F33,aging_bucket[#All],2)</f>
        <v>&gt;90</v>
      </c>
    </row>
    <row r="34" spans="1:7" x14ac:dyDescent="0.3">
      <c r="A34" s="12" t="s">
        <v>32</v>
      </c>
      <c r="B34" s="10" t="s">
        <v>593</v>
      </c>
      <c r="C34" s="14">
        <v>45738</v>
      </c>
      <c r="D34" s="14">
        <f>WORKDAY(AR_table!$C34,$J$1)</f>
        <v>45779</v>
      </c>
      <c r="E34" s="15">
        <v>1578.97</v>
      </c>
      <c r="F34" s="10">
        <f ca="1">IF(AR_table!$D34&gt;=TODAY(),0,NETWORKDAYS(AR_table!$D34,TODAY()))</f>
        <v>204</v>
      </c>
      <c r="G34" s="10" t="str">
        <f ca="1">VLOOKUP(AR_table!$F34,aging_bucket[#All],2)</f>
        <v>&gt;90</v>
      </c>
    </row>
    <row r="35" spans="1:7" x14ac:dyDescent="0.3">
      <c r="A35" s="25" t="s">
        <v>33</v>
      </c>
      <c r="B35" s="13" t="s">
        <v>593</v>
      </c>
      <c r="C35" s="26">
        <v>46039</v>
      </c>
      <c r="D35" s="26">
        <f>WORKDAY(AR_table!$C35,$J$1)</f>
        <v>46080</v>
      </c>
      <c r="E35" s="27">
        <v>1246.19</v>
      </c>
      <c r="F35" s="10">
        <f ca="1">IF(AR_table!$D35&gt;=TODAY(),0,NETWORKDAYS(AR_table!$D35,TODAY()))</f>
        <v>0</v>
      </c>
      <c r="G35" s="13" t="str">
        <f ca="1">VLOOKUP(AR_table!$F35,aging_bucket[#All],2)</f>
        <v>Not due</v>
      </c>
    </row>
    <row r="36" spans="1:7" x14ac:dyDescent="0.3">
      <c r="A36" s="25" t="s">
        <v>34</v>
      </c>
      <c r="B36" s="13" t="s">
        <v>591</v>
      </c>
      <c r="C36" s="26">
        <v>46121</v>
      </c>
      <c r="D36" s="26">
        <f>WORKDAY(AR_table!$C36,$J$1)</f>
        <v>46163</v>
      </c>
      <c r="E36" s="27">
        <v>473.33</v>
      </c>
      <c r="F36" s="10">
        <f ca="1">IF(AR_table!$D36&gt;=TODAY(),0,NETWORKDAYS(AR_table!$D36,TODAY()))</f>
        <v>0</v>
      </c>
      <c r="G36" s="13" t="str">
        <f ca="1">VLOOKUP(AR_table!$F36,aging_bucket[#All],2)</f>
        <v>Not due</v>
      </c>
    </row>
    <row r="37" spans="1:7" x14ac:dyDescent="0.3">
      <c r="A37" s="12" t="s">
        <v>35</v>
      </c>
      <c r="B37" s="10" t="s">
        <v>591</v>
      </c>
      <c r="C37" s="14">
        <v>45845</v>
      </c>
      <c r="D37" s="14">
        <f>WORKDAY(AR_table!$C37,$J$1)</f>
        <v>45887</v>
      </c>
      <c r="E37" s="15">
        <v>5228.9399999999996</v>
      </c>
      <c r="F37" s="10">
        <f ca="1">IF(AR_table!$D37&gt;=TODAY(),0,NETWORKDAYS(AR_table!$D37,TODAY()))</f>
        <v>128</v>
      </c>
      <c r="G37" s="10" t="str">
        <f ca="1">VLOOKUP(AR_table!$F37,aging_bucket[#All],2)</f>
        <v>&gt;90</v>
      </c>
    </row>
    <row r="38" spans="1:7" x14ac:dyDescent="0.3">
      <c r="A38" s="25" t="s">
        <v>36</v>
      </c>
      <c r="B38" s="13" t="s">
        <v>591</v>
      </c>
      <c r="C38" s="26">
        <v>45854</v>
      </c>
      <c r="D38" s="26">
        <f>WORKDAY(AR_table!$C38,$J$1)</f>
        <v>45896</v>
      </c>
      <c r="E38" s="27">
        <v>3011.2</v>
      </c>
      <c r="F38" s="10">
        <f ca="1">IF(AR_table!$D38&gt;=TODAY(),0,NETWORKDAYS(AR_table!$D38,TODAY()))</f>
        <v>121</v>
      </c>
      <c r="G38" s="13" t="str">
        <f ca="1">VLOOKUP(AR_table!$F38,aging_bucket[#All],2)</f>
        <v>&gt;90</v>
      </c>
    </row>
    <row r="39" spans="1:7" x14ac:dyDescent="0.3">
      <c r="A39" s="12" t="s">
        <v>37</v>
      </c>
      <c r="B39" s="10" t="s">
        <v>593</v>
      </c>
      <c r="C39" s="14">
        <v>46015</v>
      </c>
      <c r="D39" s="14">
        <f>WORKDAY(AR_table!$C39,$J$1)</f>
        <v>46057</v>
      </c>
      <c r="E39" s="15">
        <v>4681.96</v>
      </c>
      <c r="F39" s="10">
        <f ca="1">IF(AR_table!$D39&gt;=TODAY(),0,NETWORKDAYS(AR_table!$D39,TODAY()))</f>
        <v>6</v>
      </c>
      <c r="G39" s="10" t="str">
        <f ca="1">VLOOKUP(AR_table!$F39,aging_bucket[#All],2)</f>
        <v>1-30</v>
      </c>
    </row>
    <row r="40" spans="1:7" x14ac:dyDescent="0.3">
      <c r="A40" s="12" t="s">
        <v>38</v>
      </c>
      <c r="B40" s="10" t="s">
        <v>592</v>
      </c>
      <c r="C40" s="14">
        <v>45906</v>
      </c>
      <c r="D40" s="14">
        <f>WORKDAY(AR_table!$C40,$J$1)</f>
        <v>45947</v>
      </c>
      <c r="E40" s="15">
        <v>4305.1099999999997</v>
      </c>
      <c r="F40" s="10">
        <f ca="1">IF(AR_table!$D40&gt;=TODAY(),0,NETWORKDAYS(AR_table!$D40,TODAY()))</f>
        <v>84</v>
      </c>
      <c r="G40" s="10" t="str">
        <f ca="1">VLOOKUP(AR_table!$F40,aging_bucket[#All],2)</f>
        <v>61-90</v>
      </c>
    </row>
    <row r="41" spans="1:7" x14ac:dyDescent="0.3">
      <c r="A41" s="12" t="s">
        <v>39</v>
      </c>
      <c r="B41" s="10" t="s">
        <v>593</v>
      </c>
      <c r="C41" s="14">
        <v>46034</v>
      </c>
      <c r="D41" s="14">
        <f>WORKDAY(AR_table!$C41,$J$1)</f>
        <v>46076</v>
      </c>
      <c r="E41" s="15">
        <v>7045.91</v>
      </c>
      <c r="F41" s="10">
        <f ca="1">IF(AR_table!$D41&gt;=TODAY(),0,NETWORKDAYS(AR_table!$D41,TODAY()))</f>
        <v>0</v>
      </c>
      <c r="G41" s="10" t="str">
        <f ca="1">VLOOKUP(AR_table!$F41,aging_bucket[#All],2)</f>
        <v>Not due</v>
      </c>
    </row>
    <row r="42" spans="1:7" x14ac:dyDescent="0.3">
      <c r="A42" s="25" t="s">
        <v>40</v>
      </c>
      <c r="B42" s="13" t="s">
        <v>593</v>
      </c>
      <c r="C42" s="26">
        <v>46124</v>
      </c>
      <c r="D42" s="26">
        <f>WORKDAY(AR_table!$C42,$J$1)</f>
        <v>46164</v>
      </c>
      <c r="E42" s="27">
        <v>425.01</v>
      </c>
      <c r="F42" s="10">
        <f ca="1">IF(AR_table!$D42&gt;=TODAY(),0,NETWORKDAYS(AR_table!$D42,TODAY()))</f>
        <v>0</v>
      </c>
      <c r="G42" s="13" t="str">
        <f ca="1">VLOOKUP(AR_table!$F42,aging_bucket[#All],2)</f>
        <v>Not due</v>
      </c>
    </row>
    <row r="43" spans="1:7" x14ac:dyDescent="0.3">
      <c r="A43" s="12" t="s">
        <v>41</v>
      </c>
      <c r="B43" s="10" t="s">
        <v>595</v>
      </c>
      <c r="C43" s="14">
        <v>45950</v>
      </c>
      <c r="D43" s="14">
        <f>WORKDAY(AR_table!$C43,$J$1)</f>
        <v>45992</v>
      </c>
      <c r="E43" s="15">
        <v>839.83</v>
      </c>
      <c r="F43" s="10">
        <f ca="1">IF(AR_table!$D43&gt;=TODAY(),0,NETWORKDAYS(AR_table!$D43,TODAY()))</f>
        <v>53</v>
      </c>
      <c r="G43" s="10" t="str">
        <f ca="1">VLOOKUP(AR_table!$F43,aging_bucket[#All],2)</f>
        <v>31-60</v>
      </c>
    </row>
    <row r="44" spans="1:7" x14ac:dyDescent="0.3">
      <c r="A44" s="25" t="s">
        <v>42</v>
      </c>
      <c r="B44" s="13" t="s">
        <v>594</v>
      </c>
      <c r="C44" s="26">
        <v>45954</v>
      </c>
      <c r="D44" s="26">
        <f>WORKDAY(AR_table!$C44,$J$1)</f>
        <v>45996</v>
      </c>
      <c r="E44" s="27">
        <v>997.56</v>
      </c>
      <c r="F44" s="10">
        <f ca="1">IF(AR_table!$D44&gt;=TODAY(),0,NETWORKDAYS(AR_table!$D44,TODAY()))</f>
        <v>49</v>
      </c>
      <c r="G44" s="13" t="str">
        <f ca="1">VLOOKUP(AR_table!$F44,aging_bucket[#All],2)</f>
        <v>31-60</v>
      </c>
    </row>
    <row r="45" spans="1:7" x14ac:dyDescent="0.3">
      <c r="A45" s="12" t="s">
        <v>43</v>
      </c>
      <c r="B45" s="10" t="s">
        <v>591</v>
      </c>
      <c r="C45" s="14">
        <v>45883</v>
      </c>
      <c r="D45" s="14">
        <f>WORKDAY(AR_table!$C45,$J$1)</f>
        <v>45925</v>
      </c>
      <c r="E45" s="15">
        <v>6142.65</v>
      </c>
      <c r="F45" s="10">
        <f ca="1">IF(AR_table!$D45&gt;=TODAY(),0,NETWORKDAYS(AR_table!$D45,TODAY()))</f>
        <v>100</v>
      </c>
      <c r="G45" s="10" t="str">
        <f ca="1">VLOOKUP(AR_table!$F45,aging_bucket[#All],2)</f>
        <v>&gt;90</v>
      </c>
    </row>
    <row r="46" spans="1:7" x14ac:dyDescent="0.3">
      <c r="A46" s="25" t="s">
        <v>44</v>
      </c>
      <c r="B46" s="13" t="s">
        <v>593</v>
      </c>
      <c r="C46" s="26">
        <v>46104</v>
      </c>
      <c r="D46" s="26">
        <f>WORKDAY(AR_table!$C46,$J$1)</f>
        <v>46146</v>
      </c>
      <c r="E46" s="27">
        <v>4402.5200000000004</v>
      </c>
      <c r="F46" s="10">
        <f ca="1">IF(AR_table!$D46&gt;=TODAY(),0,NETWORKDAYS(AR_table!$D46,TODAY()))</f>
        <v>0</v>
      </c>
      <c r="G46" s="13" t="str">
        <f ca="1">VLOOKUP(AR_table!$F46,aging_bucket[#All],2)</f>
        <v>Not due</v>
      </c>
    </row>
    <row r="47" spans="1:7" x14ac:dyDescent="0.3">
      <c r="A47" s="12" t="s">
        <v>45</v>
      </c>
      <c r="B47" s="10" t="s">
        <v>594</v>
      </c>
      <c r="C47" s="14">
        <v>45848</v>
      </c>
      <c r="D47" s="14">
        <f>WORKDAY(AR_table!$C47,$J$1)</f>
        <v>45890</v>
      </c>
      <c r="E47" s="15">
        <v>7809.98</v>
      </c>
      <c r="F47" s="10">
        <f ca="1">IF(AR_table!$D47&gt;=TODAY(),0,NETWORKDAYS(AR_table!$D47,TODAY()))</f>
        <v>125</v>
      </c>
      <c r="G47" s="10" t="str">
        <f ca="1">VLOOKUP(AR_table!$F47,aging_bucket[#All],2)</f>
        <v>&gt;90</v>
      </c>
    </row>
    <row r="48" spans="1:7" x14ac:dyDescent="0.3">
      <c r="A48" s="12" t="s">
        <v>46</v>
      </c>
      <c r="B48" s="10" t="s">
        <v>594</v>
      </c>
      <c r="C48" s="14">
        <v>45691</v>
      </c>
      <c r="D48" s="14">
        <f>WORKDAY(AR_table!$C48,$J$1)</f>
        <v>45733</v>
      </c>
      <c r="E48" s="15">
        <v>2946.05</v>
      </c>
      <c r="F48" s="10">
        <f ca="1">IF(AR_table!$D48&gt;=TODAY(),0,NETWORKDAYS(AR_table!$D48,TODAY()))</f>
        <v>238</v>
      </c>
      <c r="G48" s="10" t="str">
        <f ca="1">VLOOKUP(AR_table!$F48,aging_bucket[#All],2)</f>
        <v>&gt;90</v>
      </c>
    </row>
    <row r="49" spans="1:7" x14ac:dyDescent="0.3">
      <c r="A49" s="12" t="s">
        <v>47</v>
      </c>
      <c r="B49" s="10" t="s">
        <v>592</v>
      </c>
      <c r="C49" s="14">
        <v>45687</v>
      </c>
      <c r="D49" s="14">
        <f>WORKDAY(AR_table!$C49,$J$1)</f>
        <v>45729</v>
      </c>
      <c r="E49" s="15">
        <v>4822.1899999999996</v>
      </c>
      <c r="F49" s="10">
        <f ca="1">IF(AR_table!$D49&gt;=TODAY(),0,NETWORKDAYS(AR_table!$D49,TODAY()))</f>
        <v>240</v>
      </c>
      <c r="G49" s="10" t="str">
        <f ca="1">VLOOKUP(AR_table!$F49,aging_bucket[#All],2)</f>
        <v>&gt;90</v>
      </c>
    </row>
    <row r="50" spans="1:7" x14ac:dyDescent="0.3">
      <c r="A50" s="25" t="s">
        <v>48</v>
      </c>
      <c r="B50" s="13" t="s">
        <v>594</v>
      </c>
      <c r="C50" s="26">
        <v>45691</v>
      </c>
      <c r="D50" s="26">
        <f>WORKDAY(AR_table!$C50,$J$1)</f>
        <v>45733</v>
      </c>
      <c r="E50" s="27">
        <v>457.35</v>
      </c>
      <c r="F50" s="10">
        <f ca="1">IF(AR_table!$D50&gt;=TODAY(),0,NETWORKDAYS(AR_table!$D50,TODAY()))</f>
        <v>238</v>
      </c>
      <c r="G50" s="13" t="str">
        <f ca="1">VLOOKUP(AR_table!$F50,aging_bucket[#All],2)</f>
        <v>&gt;90</v>
      </c>
    </row>
    <row r="51" spans="1:7" x14ac:dyDescent="0.3">
      <c r="A51" s="12" t="s">
        <v>49</v>
      </c>
      <c r="B51" s="10" t="s">
        <v>594</v>
      </c>
      <c r="C51" s="14">
        <v>45923</v>
      </c>
      <c r="D51" s="14">
        <f>WORKDAY(AR_table!$C51,$J$1)</f>
        <v>45965</v>
      </c>
      <c r="E51" s="15">
        <v>2055.94</v>
      </c>
      <c r="F51" s="10">
        <f ca="1">IF(AR_table!$D51&gt;=TODAY(),0,NETWORKDAYS(AR_table!$D51,TODAY()))</f>
        <v>72</v>
      </c>
      <c r="G51" s="10" t="str">
        <f ca="1">VLOOKUP(AR_table!$F51,aging_bucket[#All],2)</f>
        <v>61-90</v>
      </c>
    </row>
    <row r="52" spans="1:7" x14ac:dyDescent="0.3">
      <c r="A52" s="25" t="s">
        <v>50</v>
      </c>
      <c r="B52" s="13" t="s">
        <v>595</v>
      </c>
      <c r="C52" s="26">
        <v>45771</v>
      </c>
      <c r="D52" s="26">
        <f>WORKDAY(AR_table!$C52,$J$1)</f>
        <v>45813</v>
      </c>
      <c r="E52" s="27">
        <v>6747.59</v>
      </c>
      <c r="F52" s="10">
        <f ca="1">IF(AR_table!$D52&gt;=TODAY(),0,NETWORKDAYS(AR_table!$D52,TODAY()))</f>
        <v>180</v>
      </c>
      <c r="G52" s="13" t="str">
        <f ca="1">VLOOKUP(AR_table!$F52,aging_bucket[#All],2)</f>
        <v>&gt;90</v>
      </c>
    </row>
    <row r="53" spans="1:7" x14ac:dyDescent="0.3">
      <c r="A53" s="12" t="s">
        <v>51</v>
      </c>
      <c r="B53" s="10" t="s">
        <v>594</v>
      </c>
      <c r="C53" s="14">
        <v>45945</v>
      </c>
      <c r="D53" s="14">
        <f>WORKDAY(AR_table!$C53,$J$1)</f>
        <v>45987</v>
      </c>
      <c r="E53" s="15">
        <v>3184.22</v>
      </c>
      <c r="F53" s="10">
        <f ca="1">IF(AR_table!$D53&gt;=TODAY(),0,NETWORKDAYS(AR_table!$D53,TODAY()))</f>
        <v>56</v>
      </c>
      <c r="G53" s="10" t="str">
        <f ca="1">VLOOKUP(AR_table!$F53,aging_bucket[#All],2)</f>
        <v>31-60</v>
      </c>
    </row>
    <row r="54" spans="1:7" x14ac:dyDescent="0.3">
      <c r="A54" s="12" t="s">
        <v>52</v>
      </c>
      <c r="B54" s="10" t="s">
        <v>591</v>
      </c>
      <c r="C54" s="14">
        <v>45749</v>
      </c>
      <c r="D54" s="14">
        <f>WORKDAY(AR_table!$C54,$J$1)</f>
        <v>45791</v>
      </c>
      <c r="E54" s="15">
        <v>6399.62</v>
      </c>
      <c r="F54" s="10">
        <f ca="1">IF(AR_table!$D54&gt;=TODAY(),0,NETWORKDAYS(AR_table!$D54,TODAY()))</f>
        <v>196</v>
      </c>
      <c r="G54" s="10" t="str">
        <f ca="1">VLOOKUP(AR_table!$F54,aging_bucket[#All],2)</f>
        <v>&gt;90</v>
      </c>
    </row>
    <row r="55" spans="1:7" x14ac:dyDescent="0.3">
      <c r="A55" s="25" t="s">
        <v>53</v>
      </c>
      <c r="B55" s="13" t="s">
        <v>591</v>
      </c>
      <c r="C55" s="26">
        <v>45838</v>
      </c>
      <c r="D55" s="26">
        <f>WORKDAY(AR_table!$C55,$J$1)</f>
        <v>45880</v>
      </c>
      <c r="E55" s="27">
        <v>775.03</v>
      </c>
      <c r="F55" s="10">
        <f ca="1">IF(AR_table!$D55&gt;=TODAY(),0,NETWORKDAYS(AR_table!$D55,TODAY()))</f>
        <v>133</v>
      </c>
      <c r="G55" s="13" t="str">
        <f ca="1">VLOOKUP(AR_table!$F55,aging_bucket[#All],2)</f>
        <v>&gt;90</v>
      </c>
    </row>
    <row r="56" spans="1:7" x14ac:dyDescent="0.3">
      <c r="A56" s="12" t="s">
        <v>54</v>
      </c>
      <c r="B56" s="10" t="s">
        <v>592</v>
      </c>
      <c r="C56" s="14">
        <v>45927</v>
      </c>
      <c r="D56" s="14">
        <f>WORKDAY(AR_table!$C56,$J$1)</f>
        <v>45968</v>
      </c>
      <c r="E56" s="15">
        <v>3847.51</v>
      </c>
      <c r="F56" s="10">
        <f ca="1">IF(AR_table!$D56&gt;=TODAY(),0,NETWORKDAYS(AR_table!$D56,TODAY()))</f>
        <v>69</v>
      </c>
      <c r="G56" s="10" t="str">
        <f ca="1">VLOOKUP(AR_table!$F56,aging_bucket[#All],2)</f>
        <v>61-90</v>
      </c>
    </row>
    <row r="57" spans="1:7" x14ac:dyDescent="0.3">
      <c r="A57" s="12" t="s">
        <v>55</v>
      </c>
      <c r="B57" s="10" t="s">
        <v>594</v>
      </c>
      <c r="C57" s="14">
        <v>46187</v>
      </c>
      <c r="D57" s="14">
        <f>WORKDAY(AR_table!$C57,$J$1)</f>
        <v>46227</v>
      </c>
      <c r="E57" s="15">
        <v>3736.92</v>
      </c>
      <c r="F57" s="10">
        <f ca="1">IF(AR_table!$D57&gt;=TODAY(),0,NETWORKDAYS(AR_table!$D57,TODAY()))</f>
        <v>0</v>
      </c>
      <c r="G57" s="10" t="str">
        <f ca="1">VLOOKUP(AR_table!$F57,aging_bucket[#All],2)</f>
        <v>Not due</v>
      </c>
    </row>
    <row r="58" spans="1:7" x14ac:dyDescent="0.3">
      <c r="A58" s="12" t="s">
        <v>56</v>
      </c>
      <c r="B58" s="10" t="s">
        <v>594</v>
      </c>
      <c r="C58" s="14">
        <v>45876</v>
      </c>
      <c r="D58" s="14">
        <f>WORKDAY(AR_table!$C58,$J$1)</f>
        <v>45918</v>
      </c>
      <c r="E58" s="15">
        <v>7325.37</v>
      </c>
      <c r="F58" s="10">
        <f ca="1">IF(AR_table!$D58&gt;=TODAY(),0,NETWORKDAYS(AR_table!$D58,TODAY()))</f>
        <v>105</v>
      </c>
      <c r="G58" s="10" t="str">
        <f ca="1">VLOOKUP(AR_table!$F58,aging_bucket[#All],2)</f>
        <v>&gt;90</v>
      </c>
    </row>
    <row r="59" spans="1:7" x14ac:dyDescent="0.3">
      <c r="A59" s="25" t="s">
        <v>57</v>
      </c>
      <c r="B59" s="13" t="s">
        <v>595</v>
      </c>
      <c r="C59" s="26">
        <v>45862</v>
      </c>
      <c r="D59" s="26">
        <f>WORKDAY(AR_table!$C59,$J$1)</f>
        <v>45904</v>
      </c>
      <c r="E59" s="27">
        <v>3958.69</v>
      </c>
      <c r="F59" s="10">
        <f ca="1">IF(AR_table!$D59&gt;=TODAY(),0,NETWORKDAYS(AR_table!$D59,TODAY()))</f>
        <v>115</v>
      </c>
      <c r="G59" s="13" t="str">
        <f ca="1">VLOOKUP(AR_table!$F59,aging_bucket[#All],2)</f>
        <v>&gt;90</v>
      </c>
    </row>
    <row r="60" spans="1:7" x14ac:dyDescent="0.3">
      <c r="A60" s="12" t="s">
        <v>58</v>
      </c>
      <c r="B60" s="10" t="s">
        <v>594</v>
      </c>
      <c r="C60" s="14">
        <v>45829</v>
      </c>
      <c r="D60" s="14">
        <f>WORKDAY(AR_table!$C60,$J$1)</f>
        <v>45870</v>
      </c>
      <c r="E60" s="15">
        <v>996.98</v>
      </c>
      <c r="F60" s="10">
        <f ca="1">IF(AR_table!$D60&gt;=TODAY(),0,NETWORKDAYS(AR_table!$D60,TODAY()))</f>
        <v>139</v>
      </c>
      <c r="G60" s="10" t="str">
        <f ca="1">VLOOKUP(AR_table!$F60,aging_bucket[#All],2)</f>
        <v>&gt;90</v>
      </c>
    </row>
    <row r="61" spans="1:7" x14ac:dyDescent="0.3">
      <c r="A61" s="25" t="s">
        <v>59</v>
      </c>
      <c r="B61" s="13" t="s">
        <v>594</v>
      </c>
      <c r="C61" s="26">
        <v>45873</v>
      </c>
      <c r="D61" s="26">
        <f>WORKDAY(AR_table!$C61,$J$1)</f>
        <v>45915</v>
      </c>
      <c r="E61" s="27">
        <v>5165.8999999999996</v>
      </c>
      <c r="F61" s="10">
        <f ca="1">IF(AR_table!$D61&gt;=TODAY(),0,NETWORKDAYS(AR_table!$D61,TODAY()))</f>
        <v>108</v>
      </c>
      <c r="G61" s="13" t="str">
        <f ca="1">VLOOKUP(AR_table!$F61,aging_bucket[#All],2)</f>
        <v>&gt;90</v>
      </c>
    </row>
    <row r="62" spans="1:7" x14ac:dyDescent="0.3">
      <c r="A62" s="12" t="s">
        <v>60</v>
      </c>
      <c r="B62" s="10" t="s">
        <v>594</v>
      </c>
      <c r="C62" s="14">
        <v>45850</v>
      </c>
      <c r="D62" s="14">
        <f>WORKDAY(AR_table!$C62,$J$1)</f>
        <v>45891</v>
      </c>
      <c r="E62" s="15">
        <v>6048.66</v>
      </c>
      <c r="F62" s="10">
        <f ca="1">IF(AR_table!$D62&gt;=TODAY(),0,NETWORKDAYS(AR_table!$D62,TODAY()))</f>
        <v>124</v>
      </c>
      <c r="G62" s="10" t="str">
        <f ca="1">VLOOKUP(AR_table!$F62,aging_bucket[#All],2)</f>
        <v>&gt;90</v>
      </c>
    </row>
    <row r="63" spans="1:7" x14ac:dyDescent="0.3">
      <c r="A63" s="12" t="s">
        <v>61</v>
      </c>
      <c r="B63" s="10" t="s">
        <v>594</v>
      </c>
      <c r="C63" s="14">
        <v>45745</v>
      </c>
      <c r="D63" s="14">
        <f>WORKDAY(AR_table!$C63,$J$1)</f>
        <v>45786</v>
      </c>
      <c r="E63" s="15">
        <v>7578.16</v>
      </c>
      <c r="F63" s="10">
        <f ca="1">IF(AR_table!$D63&gt;=TODAY(),0,NETWORKDAYS(AR_table!$D63,TODAY()))</f>
        <v>199</v>
      </c>
      <c r="G63" s="10" t="str">
        <f ca="1">VLOOKUP(AR_table!$F63,aging_bucket[#All],2)</f>
        <v>&gt;90</v>
      </c>
    </row>
    <row r="64" spans="1:7" x14ac:dyDescent="0.3">
      <c r="A64" s="25" t="s">
        <v>62</v>
      </c>
      <c r="B64" s="13" t="s">
        <v>592</v>
      </c>
      <c r="C64" s="26">
        <v>45793</v>
      </c>
      <c r="D64" s="26">
        <f>WORKDAY(AR_table!$C64,$J$1)</f>
        <v>45835</v>
      </c>
      <c r="E64" s="27">
        <v>2123.65</v>
      </c>
      <c r="F64" s="10">
        <f ca="1">IF(AR_table!$D64&gt;=TODAY(),0,NETWORKDAYS(AR_table!$D64,TODAY()))</f>
        <v>164</v>
      </c>
      <c r="G64" s="13" t="str">
        <f ca="1">VLOOKUP(AR_table!$F64,aging_bucket[#All],2)</f>
        <v>&gt;90</v>
      </c>
    </row>
    <row r="65" spans="1:7" x14ac:dyDescent="0.3">
      <c r="A65" s="25" t="s">
        <v>63</v>
      </c>
      <c r="B65" s="13" t="s">
        <v>591</v>
      </c>
      <c r="C65" s="26">
        <v>46030</v>
      </c>
      <c r="D65" s="26">
        <f>WORKDAY(AR_table!$C65,$J$1)</f>
        <v>46072</v>
      </c>
      <c r="E65" s="27">
        <v>3764.75</v>
      </c>
      <c r="F65" s="10">
        <f ca="1">IF(AR_table!$D65&gt;=TODAY(),0,NETWORKDAYS(AR_table!$D65,TODAY()))</f>
        <v>0</v>
      </c>
      <c r="G65" s="13" t="str">
        <f ca="1">VLOOKUP(AR_table!$F65,aging_bucket[#All],2)</f>
        <v>Not due</v>
      </c>
    </row>
    <row r="66" spans="1:7" x14ac:dyDescent="0.3">
      <c r="A66" s="12" t="s">
        <v>64</v>
      </c>
      <c r="B66" s="10" t="s">
        <v>595</v>
      </c>
      <c r="C66" s="14">
        <v>46106</v>
      </c>
      <c r="D66" s="14">
        <f>WORKDAY(AR_table!$C66,$J$1)</f>
        <v>46148</v>
      </c>
      <c r="E66" s="15">
        <v>820.19</v>
      </c>
      <c r="F66" s="10">
        <f ca="1">IF(AR_table!$D66&gt;=TODAY(),0,NETWORKDAYS(AR_table!$D66,TODAY()))</f>
        <v>0</v>
      </c>
      <c r="G66" s="10" t="str">
        <f ca="1">VLOOKUP(AR_table!$F66,aging_bucket[#All],2)</f>
        <v>Not due</v>
      </c>
    </row>
    <row r="67" spans="1:7" x14ac:dyDescent="0.3">
      <c r="A67" s="25" t="s">
        <v>65</v>
      </c>
      <c r="B67" s="13" t="s">
        <v>595</v>
      </c>
      <c r="C67" s="26">
        <v>45948</v>
      </c>
      <c r="D67" s="26">
        <f>WORKDAY(AR_table!$C67,$J$1)</f>
        <v>45989</v>
      </c>
      <c r="E67" s="27">
        <v>2445.4899999999998</v>
      </c>
      <c r="F67" s="10">
        <f ca="1">IF(AR_table!$D67&gt;=TODAY(),0,NETWORKDAYS(AR_table!$D67,TODAY()))</f>
        <v>54</v>
      </c>
      <c r="G67" s="13" t="str">
        <f ca="1">VLOOKUP(AR_table!$F67,aging_bucket[#All],2)</f>
        <v>31-60</v>
      </c>
    </row>
    <row r="68" spans="1:7" x14ac:dyDescent="0.3">
      <c r="A68" s="12" t="s">
        <v>66</v>
      </c>
      <c r="B68" s="10" t="s">
        <v>594</v>
      </c>
      <c r="C68" s="14">
        <v>46004</v>
      </c>
      <c r="D68" s="14">
        <f>WORKDAY(AR_table!$C68,$J$1)</f>
        <v>46045</v>
      </c>
      <c r="E68" s="15">
        <v>1998.78</v>
      </c>
      <c r="F68" s="10">
        <f ca="1">IF(AR_table!$D68&gt;=TODAY(),0,NETWORKDAYS(AR_table!$D68,TODAY()))</f>
        <v>14</v>
      </c>
      <c r="G68" s="10" t="str">
        <f ca="1">VLOOKUP(AR_table!$F68,aging_bucket[#All],2)</f>
        <v>1-30</v>
      </c>
    </row>
    <row r="69" spans="1:7" x14ac:dyDescent="0.3">
      <c r="A69" s="25" t="s">
        <v>67</v>
      </c>
      <c r="B69" s="13" t="s">
        <v>592</v>
      </c>
      <c r="C69" s="26">
        <v>46016</v>
      </c>
      <c r="D69" s="26">
        <f>WORKDAY(AR_table!$C69,$J$1)</f>
        <v>46058</v>
      </c>
      <c r="E69" s="27">
        <v>3998.83</v>
      </c>
      <c r="F69" s="10">
        <f ca="1">IF(AR_table!$D69&gt;=TODAY(),0,NETWORKDAYS(AR_table!$D69,TODAY()))</f>
        <v>5</v>
      </c>
      <c r="G69" s="13" t="str">
        <f ca="1">VLOOKUP(AR_table!$F69,aging_bucket[#All],2)</f>
        <v>1-30</v>
      </c>
    </row>
    <row r="70" spans="1:7" x14ac:dyDescent="0.3">
      <c r="A70" s="12" t="s">
        <v>68</v>
      </c>
      <c r="B70" s="10" t="s">
        <v>594</v>
      </c>
      <c r="C70" s="14">
        <v>45874</v>
      </c>
      <c r="D70" s="14">
        <f>WORKDAY(AR_table!$C70,$J$1)</f>
        <v>45916</v>
      </c>
      <c r="E70" s="15">
        <v>7583.72</v>
      </c>
      <c r="F70" s="10">
        <f ca="1">IF(AR_table!$D70&gt;=TODAY(),0,NETWORKDAYS(AR_table!$D70,TODAY()))</f>
        <v>107</v>
      </c>
      <c r="G70" s="10" t="str">
        <f ca="1">VLOOKUP(AR_table!$F70,aging_bucket[#All],2)</f>
        <v>&gt;90</v>
      </c>
    </row>
    <row r="71" spans="1:7" x14ac:dyDescent="0.3">
      <c r="A71" s="25" t="s">
        <v>69</v>
      </c>
      <c r="B71" s="13" t="s">
        <v>595</v>
      </c>
      <c r="C71" s="26">
        <v>45748</v>
      </c>
      <c r="D71" s="26">
        <f>WORKDAY(AR_table!$C71,$J$1)</f>
        <v>45790</v>
      </c>
      <c r="E71" s="27">
        <v>962.46</v>
      </c>
      <c r="F71" s="10">
        <f ca="1">IF(AR_table!$D71&gt;=TODAY(),0,NETWORKDAYS(AR_table!$D71,TODAY()))</f>
        <v>197</v>
      </c>
      <c r="G71" s="13" t="str">
        <f ca="1">VLOOKUP(AR_table!$F71,aging_bucket[#All],2)</f>
        <v>&gt;90</v>
      </c>
    </row>
    <row r="72" spans="1:7" x14ac:dyDescent="0.3">
      <c r="A72" s="12" t="s">
        <v>70</v>
      </c>
      <c r="B72" s="10" t="s">
        <v>593</v>
      </c>
      <c r="C72" s="14">
        <v>45740</v>
      </c>
      <c r="D72" s="14">
        <f>WORKDAY(AR_table!$C72,$J$1)</f>
        <v>45782</v>
      </c>
      <c r="E72" s="15">
        <v>2924.69</v>
      </c>
      <c r="F72" s="10">
        <f ca="1">IF(AR_table!$D72&gt;=TODAY(),0,NETWORKDAYS(AR_table!$D72,TODAY()))</f>
        <v>203</v>
      </c>
      <c r="G72" s="10" t="str">
        <f ca="1">VLOOKUP(AR_table!$F72,aging_bucket[#All],2)</f>
        <v>&gt;90</v>
      </c>
    </row>
    <row r="73" spans="1:7" x14ac:dyDescent="0.3">
      <c r="A73" s="25" t="s">
        <v>71</v>
      </c>
      <c r="B73" s="13" t="s">
        <v>593</v>
      </c>
      <c r="C73" s="26">
        <v>45920</v>
      </c>
      <c r="D73" s="26">
        <f>WORKDAY(AR_table!$C73,$J$1)</f>
        <v>45961</v>
      </c>
      <c r="E73" s="27">
        <v>4442.67</v>
      </c>
      <c r="F73" s="10">
        <f ca="1">IF(AR_table!$D73&gt;=TODAY(),0,NETWORKDAYS(AR_table!$D73,TODAY()))</f>
        <v>74</v>
      </c>
      <c r="G73" s="13" t="str">
        <f ca="1">VLOOKUP(AR_table!$F73,aging_bucket[#All],2)</f>
        <v>61-90</v>
      </c>
    </row>
    <row r="74" spans="1:7" x14ac:dyDescent="0.3">
      <c r="A74" s="25" t="s">
        <v>72</v>
      </c>
      <c r="B74" s="13" t="s">
        <v>593</v>
      </c>
      <c r="C74" s="26">
        <v>45681</v>
      </c>
      <c r="D74" s="26">
        <f>WORKDAY(AR_table!$C74,$J$1)</f>
        <v>45723</v>
      </c>
      <c r="E74" s="27">
        <v>779.56</v>
      </c>
      <c r="F74" s="10">
        <f ca="1">IF(AR_table!$D74&gt;=TODAY(),0,NETWORKDAYS(AR_table!$D74,TODAY()))</f>
        <v>244</v>
      </c>
      <c r="G74" s="13" t="str">
        <f ca="1">VLOOKUP(AR_table!$F74,aging_bucket[#All],2)</f>
        <v>&gt;90</v>
      </c>
    </row>
    <row r="75" spans="1:7" x14ac:dyDescent="0.3">
      <c r="A75" s="12" t="s">
        <v>73</v>
      </c>
      <c r="B75" s="10" t="s">
        <v>591</v>
      </c>
      <c r="C75" s="14">
        <v>45975</v>
      </c>
      <c r="D75" s="14">
        <f>WORKDAY(AR_table!$C75,$J$1)</f>
        <v>46017</v>
      </c>
      <c r="E75" s="15">
        <v>546.16</v>
      </c>
      <c r="F75" s="10">
        <f ca="1">IF(AR_table!$D75&gt;=TODAY(),0,NETWORKDAYS(AR_table!$D75,TODAY()))</f>
        <v>34</v>
      </c>
      <c r="G75" s="10" t="str">
        <f ca="1">VLOOKUP(AR_table!$F75,aging_bucket[#All],2)</f>
        <v>31-60</v>
      </c>
    </row>
    <row r="76" spans="1:7" x14ac:dyDescent="0.3">
      <c r="A76" s="25" t="s">
        <v>74</v>
      </c>
      <c r="B76" s="13" t="s">
        <v>595</v>
      </c>
      <c r="C76" s="26">
        <v>45918</v>
      </c>
      <c r="D76" s="26">
        <f>WORKDAY(AR_table!$C76,$J$1)</f>
        <v>45960</v>
      </c>
      <c r="E76" s="27">
        <v>7954.05</v>
      </c>
      <c r="F76" s="10">
        <f ca="1">IF(AR_table!$D76&gt;=TODAY(),0,NETWORKDAYS(AR_table!$D76,TODAY()))</f>
        <v>75</v>
      </c>
      <c r="G76" s="13" t="str">
        <f ca="1">VLOOKUP(AR_table!$F76,aging_bucket[#All],2)</f>
        <v>61-90</v>
      </c>
    </row>
    <row r="77" spans="1:7" x14ac:dyDescent="0.3">
      <c r="A77" s="12" t="s">
        <v>75</v>
      </c>
      <c r="B77" s="10" t="s">
        <v>592</v>
      </c>
      <c r="C77" s="14">
        <v>45908</v>
      </c>
      <c r="D77" s="14">
        <f>WORKDAY(AR_table!$C77,$J$1)</f>
        <v>45950</v>
      </c>
      <c r="E77" s="15">
        <v>3639.68</v>
      </c>
      <c r="F77" s="10">
        <f ca="1">IF(AR_table!$D77&gt;=TODAY(),0,NETWORKDAYS(AR_table!$D77,TODAY()))</f>
        <v>83</v>
      </c>
      <c r="G77" s="10" t="str">
        <f ca="1">VLOOKUP(AR_table!$F77,aging_bucket[#All],2)</f>
        <v>61-90</v>
      </c>
    </row>
    <row r="78" spans="1:7" x14ac:dyDescent="0.3">
      <c r="A78" s="25" t="s">
        <v>76</v>
      </c>
      <c r="B78" s="13" t="s">
        <v>595</v>
      </c>
      <c r="C78" s="26">
        <v>46196</v>
      </c>
      <c r="D78" s="26">
        <f>WORKDAY(AR_table!$C78,$J$1)</f>
        <v>46238</v>
      </c>
      <c r="E78" s="27">
        <v>7625.21</v>
      </c>
      <c r="F78" s="10">
        <f ca="1">IF(AR_table!$D78&gt;=TODAY(),0,NETWORKDAYS(AR_table!$D78,TODAY()))</f>
        <v>0</v>
      </c>
      <c r="G78" s="13" t="str">
        <f ca="1">VLOOKUP(AR_table!$F78,aging_bucket[#All],2)</f>
        <v>Not due</v>
      </c>
    </row>
    <row r="79" spans="1:7" x14ac:dyDescent="0.3">
      <c r="A79" s="12" t="s">
        <v>77</v>
      </c>
      <c r="B79" s="10" t="s">
        <v>595</v>
      </c>
      <c r="C79" s="14">
        <v>45723</v>
      </c>
      <c r="D79" s="14">
        <f>WORKDAY(AR_table!$C79,$J$1)</f>
        <v>45765</v>
      </c>
      <c r="E79" s="15">
        <v>1585.28</v>
      </c>
      <c r="F79" s="10">
        <f ca="1">IF(AR_table!$D79&gt;=TODAY(),0,NETWORKDAYS(AR_table!$D79,TODAY()))</f>
        <v>214</v>
      </c>
      <c r="G79" s="10" t="str">
        <f ca="1">VLOOKUP(AR_table!$F79,aging_bucket[#All],2)</f>
        <v>&gt;90</v>
      </c>
    </row>
    <row r="80" spans="1:7" x14ac:dyDescent="0.3">
      <c r="A80" s="25" t="s">
        <v>78</v>
      </c>
      <c r="B80" s="13" t="s">
        <v>594</v>
      </c>
      <c r="C80" s="26">
        <v>45955</v>
      </c>
      <c r="D80" s="26">
        <f>WORKDAY(AR_table!$C80,$J$1)</f>
        <v>45996</v>
      </c>
      <c r="E80" s="27">
        <v>839.17</v>
      </c>
      <c r="F80" s="10">
        <f ca="1">IF(AR_table!$D80&gt;=TODAY(),0,NETWORKDAYS(AR_table!$D80,TODAY()))</f>
        <v>49</v>
      </c>
      <c r="G80" s="13" t="str">
        <f ca="1">VLOOKUP(AR_table!$F80,aging_bucket[#All],2)</f>
        <v>31-60</v>
      </c>
    </row>
    <row r="81" spans="1:7" x14ac:dyDescent="0.3">
      <c r="A81" s="12" t="s">
        <v>79</v>
      </c>
      <c r="B81" s="10" t="s">
        <v>593</v>
      </c>
      <c r="C81" s="14">
        <v>46069</v>
      </c>
      <c r="D81" s="14">
        <f>WORKDAY(AR_table!$C81,$J$1)</f>
        <v>46111</v>
      </c>
      <c r="E81" s="15">
        <v>3881.62</v>
      </c>
      <c r="F81" s="10">
        <f ca="1">IF(AR_table!$D81&gt;=TODAY(),0,NETWORKDAYS(AR_table!$D81,TODAY()))</f>
        <v>0</v>
      </c>
      <c r="G81" s="10" t="str">
        <f ca="1">VLOOKUP(AR_table!$F81,aging_bucket[#All],2)</f>
        <v>Not due</v>
      </c>
    </row>
    <row r="82" spans="1:7" x14ac:dyDescent="0.3">
      <c r="A82" s="25" t="s">
        <v>80</v>
      </c>
      <c r="B82" s="13" t="s">
        <v>593</v>
      </c>
      <c r="C82" s="26">
        <v>45844</v>
      </c>
      <c r="D82" s="26">
        <f>WORKDAY(AR_table!$C82,$J$1)</f>
        <v>45884</v>
      </c>
      <c r="E82" s="27">
        <v>7797.4</v>
      </c>
      <c r="F82" s="10">
        <f ca="1">IF(AR_table!$D82&gt;=TODAY(),0,NETWORKDAYS(AR_table!$D82,TODAY()))</f>
        <v>129</v>
      </c>
      <c r="G82" s="13" t="str">
        <f ca="1">VLOOKUP(AR_table!$F82,aging_bucket[#All],2)</f>
        <v>&gt;90</v>
      </c>
    </row>
    <row r="83" spans="1:7" x14ac:dyDescent="0.3">
      <c r="A83" s="25" t="s">
        <v>81</v>
      </c>
      <c r="B83" s="13" t="s">
        <v>592</v>
      </c>
      <c r="C83" s="26">
        <v>45696</v>
      </c>
      <c r="D83" s="26">
        <f>WORKDAY(AR_table!$C83,$J$1)</f>
        <v>45737</v>
      </c>
      <c r="E83" s="27">
        <v>2014.85</v>
      </c>
      <c r="F83" s="10">
        <f ca="1">IF(AR_table!$D83&gt;=TODAY(),0,NETWORKDAYS(AR_table!$D83,TODAY()))</f>
        <v>234</v>
      </c>
      <c r="G83" s="13" t="str">
        <f ca="1">VLOOKUP(AR_table!$F83,aging_bucket[#All],2)</f>
        <v>&gt;90</v>
      </c>
    </row>
    <row r="84" spans="1:7" x14ac:dyDescent="0.3">
      <c r="A84" s="12" t="s">
        <v>82</v>
      </c>
      <c r="B84" s="10" t="s">
        <v>595</v>
      </c>
      <c r="C84" s="14">
        <v>45995</v>
      </c>
      <c r="D84" s="14">
        <f>WORKDAY(AR_table!$C84,$J$1)</f>
        <v>46037</v>
      </c>
      <c r="E84" s="15">
        <v>4892.3500000000004</v>
      </c>
      <c r="F84" s="10">
        <f ca="1">IF(AR_table!$D84&gt;=TODAY(),0,NETWORKDAYS(AR_table!$D84,TODAY()))</f>
        <v>20</v>
      </c>
      <c r="G84" s="10" t="str">
        <f ca="1">VLOOKUP(AR_table!$F84,aging_bucket[#All],2)</f>
        <v>1-30</v>
      </c>
    </row>
    <row r="85" spans="1:7" x14ac:dyDescent="0.3">
      <c r="A85" s="25" t="s">
        <v>83</v>
      </c>
      <c r="B85" s="13" t="s">
        <v>593</v>
      </c>
      <c r="C85" s="26">
        <v>46173</v>
      </c>
      <c r="D85" s="26">
        <f>WORKDAY(AR_table!$C85,$J$1)</f>
        <v>46213</v>
      </c>
      <c r="E85" s="27">
        <v>4299.43</v>
      </c>
      <c r="F85" s="10">
        <f ca="1">IF(AR_table!$D85&gt;=TODAY(),0,NETWORKDAYS(AR_table!$D85,TODAY()))</f>
        <v>0</v>
      </c>
      <c r="G85" s="13" t="str">
        <f ca="1">VLOOKUP(AR_table!$F85,aging_bucket[#All],2)</f>
        <v>Not due</v>
      </c>
    </row>
    <row r="86" spans="1:7" x14ac:dyDescent="0.3">
      <c r="A86" s="12" t="s">
        <v>84</v>
      </c>
      <c r="B86" s="10" t="s">
        <v>594</v>
      </c>
      <c r="C86" s="14">
        <v>45820</v>
      </c>
      <c r="D86" s="14">
        <f>WORKDAY(AR_table!$C86,$J$1)</f>
        <v>45862</v>
      </c>
      <c r="E86" s="15">
        <v>5721</v>
      </c>
      <c r="F86" s="10">
        <f ca="1">IF(AR_table!$D86&gt;=TODAY(),0,NETWORKDAYS(AR_table!$D86,TODAY()))</f>
        <v>145</v>
      </c>
      <c r="G86" s="10" t="str">
        <f ca="1">VLOOKUP(AR_table!$F86,aging_bucket[#All],2)</f>
        <v>&gt;90</v>
      </c>
    </row>
    <row r="87" spans="1:7" x14ac:dyDescent="0.3">
      <c r="A87" s="25" t="s">
        <v>85</v>
      </c>
      <c r="B87" s="13" t="s">
        <v>592</v>
      </c>
      <c r="C87" s="26">
        <v>45915</v>
      </c>
      <c r="D87" s="26">
        <f>WORKDAY(AR_table!$C87,$J$1)</f>
        <v>45957</v>
      </c>
      <c r="E87" s="27">
        <v>7503.51</v>
      </c>
      <c r="F87" s="10">
        <f ca="1">IF(AR_table!$D87&gt;=TODAY(),0,NETWORKDAYS(AR_table!$D87,TODAY()))</f>
        <v>78</v>
      </c>
      <c r="G87" s="13" t="str">
        <f ca="1">VLOOKUP(AR_table!$F87,aging_bucket[#All],2)</f>
        <v>61-90</v>
      </c>
    </row>
    <row r="88" spans="1:7" x14ac:dyDescent="0.3">
      <c r="A88" s="12" t="s">
        <v>86</v>
      </c>
      <c r="B88" s="10" t="s">
        <v>593</v>
      </c>
      <c r="C88" s="14">
        <v>46123</v>
      </c>
      <c r="D88" s="14">
        <f>WORKDAY(AR_table!$C88,$J$1)</f>
        <v>46164</v>
      </c>
      <c r="E88" s="15">
        <v>3411.27</v>
      </c>
      <c r="F88" s="10">
        <f ca="1">IF(AR_table!$D88&gt;=TODAY(),0,NETWORKDAYS(AR_table!$D88,TODAY()))</f>
        <v>0</v>
      </c>
      <c r="G88" s="10" t="str">
        <f ca="1">VLOOKUP(AR_table!$F88,aging_bucket[#All],2)</f>
        <v>Not due</v>
      </c>
    </row>
    <row r="89" spans="1:7" x14ac:dyDescent="0.3">
      <c r="A89" s="25" t="s">
        <v>87</v>
      </c>
      <c r="B89" s="13" t="s">
        <v>594</v>
      </c>
      <c r="C89" s="26">
        <v>46043</v>
      </c>
      <c r="D89" s="26">
        <f>WORKDAY(AR_table!$C89,$J$1)</f>
        <v>46085</v>
      </c>
      <c r="E89" s="27">
        <v>785.47</v>
      </c>
      <c r="F89" s="10">
        <f ca="1">IF(AR_table!$D89&gt;=TODAY(),0,NETWORKDAYS(AR_table!$D89,TODAY()))</f>
        <v>0</v>
      </c>
      <c r="G89" s="13" t="str">
        <f ca="1">VLOOKUP(AR_table!$F89,aging_bucket[#All],2)</f>
        <v>Not due</v>
      </c>
    </row>
    <row r="90" spans="1:7" x14ac:dyDescent="0.3">
      <c r="A90" s="12" t="s">
        <v>88</v>
      </c>
      <c r="B90" s="10" t="s">
        <v>595</v>
      </c>
      <c r="C90" s="14">
        <v>45735</v>
      </c>
      <c r="D90" s="14">
        <f>WORKDAY(AR_table!$C90,$J$1)</f>
        <v>45777</v>
      </c>
      <c r="E90" s="15">
        <v>1451.37</v>
      </c>
      <c r="F90" s="10">
        <f ca="1">IF(AR_table!$D90&gt;=TODAY(),0,NETWORKDAYS(AR_table!$D90,TODAY()))</f>
        <v>206</v>
      </c>
      <c r="G90" s="10" t="str">
        <f ca="1">VLOOKUP(AR_table!$F90,aging_bucket[#All],2)</f>
        <v>&gt;90</v>
      </c>
    </row>
    <row r="91" spans="1:7" x14ac:dyDescent="0.3">
      <c r="A91" s="12" t="s">
        <v>89</v>
      </c>
      <c r="B91" s="10" t="s">
        <v>594</v>
      </c>
      <c r="C91" s="14">
        <v>45708</v>
      </c>
      <c r="D91" s="14">
        <f>WORKDAY(AR_table!$C91,$J$1)</f>
        <v>45750</v>
      </c>
      <c r="E91" s="15">
        <v>1416.74</v>
      </c>
      <c r="F91" s="10">
        <f ca="1">IF(AR_table!$D91&gt;=TODAY(),0,NETWORKDAYS(AR_table!$D91,TODAY()))</f>
        <v>225</v>
      </c>
      <c r="G91" s="10" t="str">
        <f ca="1">VLOOKUP(AR_table!$F91,aging_bucket[#All],2)</f>
        <v>&gt;90</v>
      </c>
    </row>
    <row r="92" spans="1:7" x14ac:dyDescent="0.3">
      <c r="A92" s="12" t="s">
        <v>90</v>
      </c>
      <c r="B92" s="10" t="s">
        <v>595</v>
      </c>
      <c r="C92" s="14">
        <v>45866</v>
      </c>
      <c r="D92" s="14">
        <f>WORKDAY(AR_table!$C92,$J$1)</f>
        <v>45908</v>
      </c>
      <c r="E92" s="15">
        <v>5239.3</v>
      </c>
      <c r="F92" s="10">
        <f ca="1">IF(AR_table!$D92&gt;=TODAY(),0,NETWORKDAYS(AR_table!$D92,TODAY()))</f>
        <v>113</v>
      </c>
      <c r="G92" s="10" t="str">
        <f ca="1">VLOOKUP(AR_table!$F92,aging_bucket[#All],2)</f>
        <v>&gt;90</v>
      </c>
    </row>
    <row r="93" spans="1:7" x14ac:dyDescent="0.3">
      <c r="A93" s="25" t="s">
        <v>91</v>
      </c>
      <c r="B93" s="13" t="s">
        <v>592</v>
      </c>
      <c r="C93" s="26">
        <v>45728</v>
      </c>
      <c r="D93" s="26">
        <f>WORKDAY(AR_table!$C93,$J$1)</f>
        <v>45770</v>
      </c>
      <c r="E93" s="27">
        <v>5141.1899999999996</v>
      </c>
      <c r="F93" s="10">
        <f ca="1">IF(AR_table!$D93&gt;=TODAY(),0,NETWORKDAYS(AR_table!$D93,TODAY()))</f>
        <v>211</v>
      </c>
      <c r="G93" s="13" t="str">
        <f ca="1">VLOOKUP(AR_table!$F93,aging_bucket[#All],2)</f>
        <v>&gt;90</v>
      </c>
    </row>
    <row r="94" spans="1:7" x14ac:dyDescent="0.3">
      <c r="A94" s="25" t="s">
        <v>92</v>
      </c>
      <c r="B94" s="13" t="s">
        <v>595</v>
      </c>
      <c r="C94" s="26">
        <v>45960</v>
      </c>
      <c r="D94" s="26">
        <f>WORKDAY(AR_table!$C94,$J$1)</f>
        <v>46002</v>
      </c>
      <c r="E94" s="27">
        <v>6909.77</v>
      </c>
      <c r="F94" s="10">
        <f ca="1">IF(AR_table!$D94&gt;=TODAY(),0,NETWORKDAYS(AR_table!$D94,TODAY()))</f>
        <v>45</v>
      </c>
      <c r="G94" s="13" t="str">
        <f ca="1">VLOOKUP(AR_table!$F94,aging_bucket[#All],2)</f>
        <v>31-60</v>
      </c>
    </row>
    <row r="95" spans="1:7" x14ac:dyDescent="0.3">
      <c r="A95" s="25" t="s">
        <v>93</v>
      </c>
      <c r="B95" s="13" t="s">
        <v>592</v>
      </c>
      <c r="C95" s="26">
        <v>45925</v>
      </c>
      <c r="D95" s="26">
        <f>WORKDAY(AR_table!$C95,$J$1)</f>
        <v>45967</v>
      </c>
      <c r="E95" s="27">
        <v>3944.66</v>
      </c>
      <c r="F95" s="10">
        <f ca="1">IF(AR_table!$D95&gt;=TODAY(),0,NETWORKDAYS(AR_table!$D95,TODAY()))</f>
        <v>70</v>
      </c>
      <c r="G95" s="13" t="str">
        <f ca="1">VLOOKUP(AR_table!$F95,aging_bucket[#All],2)</f>
        <v>61-90</v>
      </c>
    </row>
    <row r="96" spans="1:7" x14ac:dyDescent="0.3">
      <c r="A96" s="12" t="s">
        <v>94</v>
      </c>
      <c r="B96" s="10" t="s">
        <v>594</v>
      </c>
      <c r="C96" s="14">
        <v>45961</v>
      </c>
      <c r="D96" s="14">
        <f>WORKDAY(AR_table!$C96,$J$1)</f>
        <v>46003</v>
      </c>
      <c r="E96" s="15">
        <v>1009.43</v>
      </c>
      <c r="F96" s="10">
        <f ca="1">IF(AR_table!$D96&gt;=TODAY(),0,NETWORKDAYS(AR_table!$D96,TODAY()))</f>
        <v>44</v>
      </c>
      <c r="G96" s="10" t="str">
        <f ca="1">VLOOKUP(AR_table!$F96,aging_bucket[#All],2)</f>
        <v>31-60</v>
      </c>
    </row>
    <row r="97" spans="1:7" x14ac:dyDescent="0.3">
      <c r="A97" s="25" t="s">
        <v>95</v>
      </c>
      <c r="B97" s="13" t="s">
        <v>593</v>
      </c>
      <c r="C97" s="26">
        <v>46110</v>
      </c>
      <c r="D97" s="26">
        <f>WORKDAY(AR_table!$C97,$J$1)</f>
        <v>46150</v>
      </c>
      <c r="E97" s="27">
        <v>1115.26</v>
      </c>
      <c r="F97" s="10">
        <f ca="1">IF(AR_table!$D97&gt;=TODAY(),0,NETWORKDAYS(AR_table!$D97,TODAY()))</f>
        <v>0</v>
      </c>
      <c r="G97" s="13" t="str">
        <f ca="1">VLOOKUP(AR_table!$F97,aging_bucket[#All],2)</f>
        <v>Not due</v>
      </c>
    </row>
    <row r="98" spans="1:7" x14ac:dyDescent="0.3">
      <c r="A98" s="25" t="s">
        <v>96</v>
      </c>
      <c r="B98" s="13" t="s">
        <v>593</v>
      </c>
      <c r="C98" s="26">
        <v>45917</v>
      </c>
      <c r="D98" s="26">
        <f>WORKDAY(AR_table!$C98,$J$1)</f>
        <v>45959</v>
      </c>
      <c r="E98" s="27">
        <v>2786.7</v>
      </c>
      <c r="F98" s="10">
        <f ca="1">IF(AR_table!$D98&gt;=TODAY(),0,NETWORKDAYS(AR_table!$D98,TODAY()))</f>
        <v>76</v>
      </c>
      <c r="G98" s="13" t="str">
        <f ca="1">VLOOKUP(AR_table!$F98,aging_bucket[#All],2)</f>
        <v>61-90</v>
      </c>
    </row>
    <row r="99" spans="1:7" x14ac:dyDescent="0.3">
      <c r="A99" s="12" t="s">
        <v>97</v>
      </c>
      <c r="B99" s="10" t="s">
        <v>591</v>
      </c>
      <c r="C99" s="14">
        <v>46186</v>
      </c>
      <c r="D99" s="14">
        <f>WORKDAY(AR_table!$C99,$J$1)</f>
        <v>46227</v>
      </c>
      <c r="E99" s="15">
        <v>4407.9399999999996</v>
      </c>
      <c r="F99" s="10">
        <f ca="1">IF(AR_table!$D99&gt;=TODAY(),0,NETWORKDAYS(AR_table!$D99,TODAY()))</f>
        <v>0</v>
      </c>
      <c r="G99" s="10" t="str">
        <f ca="1">VLOOKUP(AR_table!$F99,aging_bucket[#All],2)</f>
        <v>Not due</v>
      </c>
    </row>
    <row r="100" spans="1:7" x14ac:dyDescent="0.3">
      <c r="A100" s="25" t="s">
        <v>98</v>
      </c>
      <c r="B100" s="13" t="s">
        <v>591</v>
      </c>
      <c r="C100" s="26">
        <v>45952</v>
      </c>
      <c r="D100" s="26">
        <f>WORKDAY(AR_table!$C100,$J$1)</f>
        <v>45994</v>
      </c>
      <c r="E100" s="27">
        <v>4894.13</v>
      </c>
      <c r="F100" s="10">
        <f ca="1">IF(AR_table!$D100&gt;=TODAY(),0,NETWORKDAYS(AR_table!$D100,TODAY()))</f>
        <v>51</v>
      </c>
      <c r="G100" s="13" t="str">
        <f ca="1">VLOOKUP(AR_table!$F100,aging_bucket[#All],2)</f>
        <v>31-60</v>
      </c>
    </row>
    <row r="101" spans="1:7" x14ac:dyDescent="0.3">
      <c r="A101" s="12" t="s">
        <v>99</v>
      </c>
      <c r="B101" s="10" t="s">
        <v>593</v>
      </c>
      <c r="C101" s="14">
        <v>46152</v>
      </c>
      <c r="D101" s="14">
        <f>WORKDAY(AR_table!$C101,$J$1)</f>
        <v>46192</v>
      </c>
      <c r="E101" s="15">
        <v>6832.48</v>
      </c>
      <c r="F101" s="10">
        <f ca="1">IF(AR_table!$D101&gt;=TODAY(),0,NETWORKDAYS(AR_table!$D101,TODAY()))</f>
        <v>0</v>
      </c>
      <c r="G101" s="10" t="str">
        <f ca="1">VLOOKUP(AR_table!$F101,aging_bucket[#All],2)</f>
        <v>Not due</v>
      </c>
    </row>
    <row r="102" spans="1:7" x14ac:dyDescent="0.3">
      <c r="A102" s="25" t="s">
        <v>100</v>
      </c>
      <c r="B102" s="13" t="s">
        <v>591</v>
      </c>
      <c r="C102" s="26">
        <v>45904</v>
      </c>
      <c r="D102" s="26">
        <f>WORKDAY(AR_table!$C102,$J$1)</f>
        <v>45946</v>
      </c>
      <c r="E102" s="27">
        <v>2060.19</v>
      </c>
      <c r="F102" s="10">
        <f ca="1">IF(AR_table!$D102&gt;=TODAY(),0,NETWORKDAYS(AR_table!$D102,TODAY()))</f>
        <v>85</v>
      </c>
      <c r="G102" s="13" t="str">
        <f ca="1">VLOOKUP(AR_table!$F102,aging_bucket[#All],2)</f>
        <v>61-90</v>
      </c>
    </row>
    <row r="103" spans="1:7" x14ac:dyDescent="0.3">
      <c r="A103" s="12" t="s">
        <v>101</v>
      </c>
      <c r="B103" s="10" t="s">
        <v>595</v>
      </c>
      <c r="C103" s="14">
        <v>46129</v>
      </c>
      <c r="D103" s="14">
        <f>WORKDAY(AR_table!$C103,$J$1)</f>
        <v>46171</v>
      </c>
      <c r="E103" s="15">
        <v>6302.98</v>
      </c>
      <c r="F103" s="10">
        <f ca="1">IF(AR_table!$D103&gt;=TODAY(),0,NETWORKDAYS(AR_table!$D103,TODAY()))</f>
        <v>0</v>
      </c>
      <c r="G103" s="10" t="str">
        <f ca="1">VLOOKUP(AR_table!$F103,aging_bucket[#All],2)</f>
        <v>Not due</v>
      </c>
    </row>
    <row r="104" spans="1:7" x14ac:dyDescent="0.3">
      <c r="A104" s="25" t="s">
        <v>102</v>
      </c>
      <c r="B104" s="13" t="s">
        <v>595</v>
      </c>
      <c r="C104" s="26">
        <v>45880</v>
      </c>
      <c r="D104" s="26">
        <f>WORKDAY(AR_table!$C104,$J$1)</f>
        <v>45922</v>
      </c>
      <c r="E104" s="27">
        <v>6748</v>
      </c>
      <c r="F104" s="10">
        <f ca="1">IF(AR_table!$D104&gt;=TODAY(),0,NETWORKDAYS(AR_table!$D104,TODAY()))</f>
        <v>103</v>
      </c>
      <c r="G104" s="13" t="str">
        <f ca="1">VLOOKUP(AR_table!$F104,aging_bucket[#All],2)</f>
        <v>&gt;90</v>
      </c>
    </row>
    <row r="105" spans="1:7" x14ac:dyDescent="0.3">
      <c r="A105" s="12" t="s">
        <v>103</v>
      </c>
      <c r="B105" s="10" t="s">
        <v>594</v>
      </c>
      <c r="C105" s="14">
        <v>45944</v>
      </c>
      <c r="D105" s="14">
        <f>WORKDAY(AR_table!$C105,$J$1)</f>
        <v>45986</v>
      </c>
      <c r="E105" s="15">
        <v>7996.24</v>
      </c>
      <c r="F105" s="10">
        <f ca="1">IF(AR_table!$D105&gt;=TODAY(),0,NETWORKDAYS(AR_table!$D105,TODAY()))</f>
        <v>57</v>
      </c>
      <c r="G105" s="10" t="str">
        <f ca="1">VLOOKUP(AR_table!$F105,aging_bucket[#All],2)</f>
        <v>31-60</v>
      </c>
    </row>
    <row r="106" spans="1:7" x14ac:dyDescent="0.3">
      <c r="A106" s="12" t="s">
        <v>104</v>
      </c>
      <c r="B106" s="10" t="s">
        <v>591</v>
      </c>
      <c r="C106" s="14">
        <v>46115</v>
      </c>
      <c r="D106" s="14">
        <f>WORKDAY(AR_table!$C106,$J$1)</f>
        <v>46157</v>
      </c>
      <c r="E106" s="15">
        <v>6175.65</v>
      </c>
      <c r="F106" s="10">
        <f ca="1">IF(AR_table!$D106&gt;=TODAY(),0,NETWORKDAYS(AR_table!$D106,TODAY()))</f>
        <v>0</v>
      </c>
      <c r="G106" s="10" t="str">
        <f ca="1">VLOOKUP(AR_table!$F106,aging_bucket[#All],2)</f>
        <v>Not due</v>
      </c>
    </row>
    <row r="107" spans="1:7" x14ac:dyDescent="0.3">
      <c r="A107" s="25" t="s">
        <v>105</v>
      </c>
      <c r="B107" s="13" t="s">
        <v>594</v>
      </c>
      <c r="C107" s="26">
        <v>45911</v>
      </c>
      <c r="D107" s="26">
        <f>WORKDAY(AR_table!$C107,$J$1)</f>
        <v>45953</v>
      </c>
      <c r="E107" s="27">
        <v>1636.23</v>
      </c>
      <c r="F107" s="10">
        <f ca="1">IF(AR_table!$D107&gt;=TODAY(),0,NETWORKDAYS(AR_table!$D107,TODAY()))</f>
        <v>80</v>
      </c>
      <c r="G107" s="13" t="str">
        <f ca="1">VLOOKUP(AR_table!$F107,aging_bucket[#All],2)</f>
        <v>61-90</v>
      </c>
    </row>
    <row r="108" spans="1:7" x14ac:dyDescent="0.3">
      <c r="A108" s="25" t="s">
        <v>106</v>
      </c>
      <c r="B108" s="13" t="s">
        <v>594</v>
      </c>
      <c r="C108" s="26">
        <v>45822</v>
      </c>
      <c r="D108" s="26">
        <f>WORKDAY(AR_table!$C108,$J$1)</f>
        <v>45863</v>
      </c>
      <c r="E108" s="27">
        <v>1194.4100000000001</v>
      </c>
      <c r="F108" s="10">
        <f ca="1">IF(AR_table!$D108&gt;=TODAY(),0,NETWORKDAYS(AR_table!$D108,TODAY()))</f>
        <v>144</v>
      </c>
      <c r="G108" s="13" t="str">
        <f ca="1">VLOOKUP(AR_table!$F108,aging_bucket[#All],2)</f>
        <v>&gt;90</v>
      </c>
    </row>
    <row r="109" spans="1:7" x14ac:dyDescent="0.3">
      <c r="A109" s="25" t="s">
        <v>107</v>
      </c>
      <c r="B109" s="13" t="s">
        <v>593</v>
      </c>
      <c r="C109" s="26">
        <v>45992</v>
      </c>
      <c r="D109" s="26">
        <f>WORKDAY(AR_table!$C109,$J$1)</f>
        <v>46034</v>
      </c>
      <c r="E109" s="27">
        <v>426.96</v>
      </c>
      <c r="F109" s="10">
        <f ca="1">IF(AR_table!$D109&gt;=TODAY(),0,NETWORKDAYS(AR_table!$D109,TODAY()))</f>
        <v>23</v>
      </c>
      <c r="G109" s="13" t="str">
        <f ca="1">VLOOKUP(AR_table!$F109,aging_bucket[#All],2)</f>
        <v>1-30</v>
      </c>
    </row>
    <row r="110" spans="1:7" x14ac:dyDescent="0.3">
      <c r="A110" s="12" t="s">
        <v>108</v>
      </c>
      <c r="B110" s="10" t="s">
        <v>595</v>
      </c>
      <c r="C110" s="14">
        <v>46149</v>
      </c>
      <c r="D110" s="14">
        <f>WORKDAY(AR_table!$C110,$J$1)</f>
        <v>46191</v>
      </c>
      <c r="E110" s="15">
        <v>3349.63</v>
      </c>
      <c r="F110" s="10">
        <f ca="1">IF(AR_table!$D110&gt;=TODAY(),0,NETWORKDAYS(AR_table!$D110,TODAY()))</f>
        <v>0</v>
      </c>
      <c r="G110" s="10" t="str">
        <f ca="1">VLOOKUP(AR_table!$F110,aging_bucket[#All],2)</f>
        <v>Not due</v>
      </c>
    </row>
    <row r="111" spans="1:7" x14ac:dyDescent="0.3">
      <c r="A111" s="12" t="s">
        <v>109</v>
      </c>
      <c r="B111" s="10" t="s">
        <v>595</v>
      </c>
      <c r="C111" s="14">
        <v>45780</v>
      </c>
      <c r="D111" s="14">
        <f>WORKDAY(AR_table!$C111,$J$1)</f>
        <v>45821</v>
      </c>
      <c r="E111" s="15">
        <v>3681.26</v>
      </c>
      <c r="F111" s="10">
        <f ca="1">IF(AR_table!$D111&gt;=TODAY(),0,NETWORKDAYS(AR_table!$D111,TODAY()))</f>
        <v>174</v>
      </c>
      <c r="G111" s="10" t="str">
        <f ca="1">VLOOKUP(AR_table!$F111,aging_bucket[#All],2)</f>
        <v>&gt;90</v>
      </c>
    </row>
    <row r="112" spans="1:7" x14ac:dyDescent="0.3">
      <c r="A112" s="12" t="s">
        <v>110</v>
      </c>
      <c r="B112" s="10" t="s">
        <v>592</v>
      </c>
      <c r="C112" s="14">
        <v>46059</v>
      </c>
      <c r="D112" s="14">
        <f>WORKDAY(AR_table!$C112,$J$1)</f>
        <v>46101</v>
      </c>
      <c r="E112" s="15">
        <v>6512.91</v>
      </c>
      <c r="F112" s="10">
        <f ca="1">IF(AR_table!$D112&gt;=TODAY(),0,NETWORKDAYS(AR_table!$D112,TODAY()))</f>
        <v>0</v>
      </c>
      <c r="G112" s="10" t="str">
        <f ca="1">VLOOKUP(AR_table!$F112,aging_bucket[#All],2)</f>
        <v>Not due</v>
      </c>
    </row>
    <row r="113" spans="1:7" x14ac:dyDescent="0.3">
      <c r="A113" s="25" t="s">
        <v>111</v>
      </c>
      <c r="B113" s="13" t="s">
        <v>593</v>
      </c>
      <c r="C113" s="26">
        <v>46001</v>
      </c>
      <c r="D113" s="26">
        <f>WORKDAY(AR_table!$C113,$J$1)</f>
        <v>46043</v>
      </c>
      <c r="E113" s="27">
        <v>5880.66</v>
      </c>
      <c r="F113" s="10">
        <f ca="1">IF(AR_table!$D113&gt;=TODAY(),0,NETWORKDAYS(AR_table!$D113,TODAY()))</f>
        <v>16</v>
      </c>
      <c r="G113" s="13" t="str">
        <f ca="1">VLOOKUP(AR_table!$F113,aging_bucket[#All],2)</f>
        <v>1-30</v>
      </c>
    </row>
    <row r="114" spans="1:7" x14ac:dyDescent="0.3">
      <c r="A114" s="12" t="s">
        <v>112</v>
      </c>
      <c r="B114" s="10" t="s">
        <v>592</v>
      </c>
      <c r="C114" s="14">
        <v>46079</v>
      </c>
      <c r="D114" s="14">
        <f>WORKDAY(AR_table!$C114,$J$1)</f>
        <v>46121</v>
      </c>
      <c r="E114" s="15">
        <v>6131.33</v>
      </c>
      <c r="F114" s="10">
        <f ca="1">IF(AR_table!$D114&gt;=TODAY(),0,NETWORKDAYS(AR_table!$D114,TODAY()))</f>
        <v>0</v>
      </c>
      <c r="G114" s="10" t="str">
        <f ca="1">VLOOKUP(AR_table!$F114,aging_bucket[#All],2)</f>
        <v>Not due</v>
      </c>
    </row>
    <row r="115" spans="1:7" x14ac:dyDescent="0.3">
      <c r="A115" s="25" t="s">
        <v>113</v>
      </c>
      <c r="B115" s="13" t="s">
        <v>595</v>
      </c>
      <c r="C115" s="26">
        <v>45708</v>
      </c>
      <c r="D115" s="26">
        <f>WORKDAY(AR_table!$C115,$J$1)</f>
        <v>45750</v>
      </c>
      <c r="E115" s="27">
        <v>5140.8500000000004</v>
      </c>
      <c r="F115" s="10">
        <f ca="1">IF(AR_table!$D115&gt;=TODAY(),0,NETWORKDAYS(AR_table!$D115,TODAY()))</f>
        <v>225</v>
      </c>
      <c r="G115" s="13" t="str">
        <f ca="1">VLOOKUP(AR_table!$F115,aging_bucket[#All],2)</f>
        <v>&gt;90</v>
      </c>
    </row>
    <row r="116" spans="1:7" x14ac:dyDescent="0.3">
      <c r="A116" s="25" t="s">
        <v>114</v>
      </c>
      <c r="B116" s="13" t="s">
        <v>594</v>
      </c>
      <c r="C116" s="26">
        <v>45928</v>
      </c>
      <c r="D116" s="26">
        <f>WORKDAY(AR_table!$C116,$J$1)</f>
        <v>45968</v>
      </c>
      <c r="E116" s="27">
        <v>2799.03</v>
      </c>
      <c r="F116" s="10">
        <f ca="1">IF(AR_table!$D116&gt;=TODAY(),0,NETWORKDAYS(AR_table!$D116,TODAY()))</f>
        <v>69</v>
      </c>
      <c r="G116" s="13" t="str">
        <f ca="1">VLOOKUP(AR_table!$F116,aging_bucket[#All],2)</f>
        <v>61-90</v>
      </c>
    </row>
    <row r="117" spans="1:7" x14ac:dyDescent="0.3">
      <c r="A117" s="12" t="s">
        <v>115</v>
      </c>
      <c r="B117" s="10" t="s">
        <v>593</v>
      </c>
      <c r="C117" s="14">
        <v>45864</v>
      </c>
      <c r="D117" s="14">
        <f>WORKDAY(AR_table!$C117,$J$1)</f>
        <v>45905</v>
      </c>
      <c r="E117" s="15">
        <v>6835.74</v>
      </c>
      <c r="F117" s="10">
        <f ca="1">IF(AR_table!$D117&gt;=TODAY(),0,NETWORKDAYS(AR_table!$D117,TODAY()))</f>
        <v>114</v>
      </c>
      <c r="G117" s="10" t="str">
        <f ca="1">VLOOKUP(AR_table!$F117,aging_bucket[#All],2)</f>
        <v>&gt;90</v>
      </c>
    </row>
    <row r="118" spans="1:7" x14ac:dyDescent="0.3">
      <c r="A118" s="25" t="s">
        <v>116</v>
      </c>
      <c r="B118" s="13" t="s">
        <v>592</v>
      </c>
      <c r="C118" s="26">
        <v>46152</v>
      </c>
      <c r="D118" s="26">
        <f>WORKDAY(AR_table!$C118,$J$1)</f>
        <v>46192</v>
      </c>
      <c r="E118" s="27">
        <v>6160.95</v>
      </c>
      <c r="F118" s="10">
        <f ca="1">IF(AR_table!$D118&gt;=TODAY(),0,NETWORKDAYS(AR_table!$D118,TODAY()))</f>
        <v>0</v>
      </c>
      <c r="G118" s="13" t="str">
        <f ca="1">VLOOKUP(AR_table!$F118,aging_bucket[#All],2)</f>
        <v>Not due</v>
      </c>
    </row>
    <row r="119" spans="1:7" x14ac:dyDescent="0.3">
      <c r="A119" s="12" t="s">
        <v>117</v>
      </c>
      <c r="B119" s="10" t="s">
        <v>595</v>
      </c>
      <c r="C119" s="14">
        <v>45719</v>
      </c>
      <c r="D119" s="14">
        <f>WORKDAY(AR_table!$C119,$J$1)</f>
        <v>45761</v>
      </c>
      <c r="E119" s="15">
        <v>2426.38</v>
      </c>
      <c r="F119" s="10">
        <f ca="1">IF(AR_table!$D119&gt;=TODAY(),0,NETWORKDAYS(AR_table!$D119,TODAY()))</f>
        <v>218</v>
      </c>
      <c r="G119" s="10" t="str">
        <f ca="1">VLOOKUP(AR_table!$F119,aging_bucket[#All],2)</f>
        <v>&gt;90</v>
      </c>
    </row>
    <row r="120" spans="1:7" x14ac:dyDescent="0.3">
      <c r="A120" s="25" t="s">
        <v>118</v>
      </c>
      <c r="B120" s="13" t="s">
        <v>595</v>
      </c>
      <c r="C120" s="26">
        <v>45659</v>
      </c>
      <c r="D120" s="26">
        <f>WORKDAY(AR_table!$C120,$J$1)</f>
        <v>45701</v>
      </c>
      <c r="E120" s="27">
        <v>895.39</v>
      </c>
      <c r="F120" s="10">
        <f ca="1">IF(AR_table!$D120&gt;=TODAY(),0,NETWORKDAYS(AR_table!$D120,TODAY()))</f>
        <v>260</v>
      </c>
      <c r="G120" s="13" t="str">
        <f ca="1">VLOOKUP(AR_table!$F120,aging_bucket[#All],2)</f>
        <v>&gt;90</v>
      </c>
    </row>
    <row r="121" spans="1:7" x14ac:dyDescent="0.3">
      <c r="A121" s="12" t="s">
        <v>119</v>
      </c>
      <c r="B121" s="10" t="s">
        <v>595</v>
      </c>
      <c r="C121" s="14">
        <v>46117</v>
      </c>
      <c r="D121" s="14">
        <f>WORKDAY(AR_table!$C121,$J$1)</f>
        <v>46157</v>
      </c>
      <c r="E121" s="15">
        <v>1425.44</v>
      </c>
      <c r="F121" s="10">
        <f ca="1">IF(AR_table!$D121&gt;=TODAY(),0,NETWORKDAYS(AR_table!$D121,TODAY()))</f>
        <v>0</v>
      </c>
      <c r="G121" s="10" t="str">
        <f ca="1">VLOOKUP(AR_table!$F121,aging_bucket[#All],2)</f>
        <v>Not due</v>
      </c>
    </row>
    <row r="122" spans="1:7" x14ac:dyDescent="0.3">
      <c r="A122" s="25" t="s">
        <v>120</v>
      </c>
      <c r="B122" s="13" t="s">
        <v>593</v>
      </c>
      <c r="C122" s="26">
        <v>46062</v>
      </c>
      <c r="D122" s="26">
        <f>WORKDAY(AR_table!$C122,$J$1)</f>
        <v>46104</v>
      </c>
      <c r="E122" s="27">
        <v>7615.32</v>
      </c>
      <c r="F122" s="10">
        <f ca="1">IF(AR_table!$D122&gt;=TODAY(),0,NETWORKDAYS(AR_table!$D122,TODAY()))</f>
        <v>0</v>
      </c>
      <c r="G122" s="13" t="str">
        <f ca="1">VLOOKUP(AR_table!$F122,aging_bucket[#All],2)</f>
        <v>Not due</v>
      </c>
    </row>
    <row r="123" spans="1:7" x14ac:dyDescent="0.3">
      <c r="A123" s="12" t="s">
        <v>121</v>
      </c>
      <c r="B123" s="10" t="s">
        <v>592</v>
      </c>
      <c r="C123" s="14">
        <v>45826</v>
      </c>
      <c r="D123" s="14">
        <f>WORKDAY(AR_table!$C123,$J$1)</f>
        <v>45868</v>
      </c>
      <c r="E123" s="15">
        <v>5139.07</v>
      </c>
      <c r="F123" s="10">
        <f ca="1">IF(AR_table!$D123&gt;=TODAY(),0,NETWORKDAYS(AR_table!$D123,TODAY()))</f>
        <v>141</v>
      </c>
      <c r="G123" s="10" t="str">
        <f ca="1">VLOOKUP(AR_table!$F123,aging_bucket[#All],2)</f>
        <v>&gt;90</v>
      </c>
    </row>
    <row r="124" spans="1:7" x14ac:dyDescent="0.3">
      <c r="A124" s="25" t="s">
        <v>122</v>
      </c>
      <c r="B124" s="13" t="s">
        <v>591</v>
      </c>
      <c r="C124" s="26">
        <v>45942</v>
      </c>
      <c r="D124" s="26">
        <f>WORKDAY(AR_table!$C124,$J$1)</f>
        <v>45982</v>
      </c>
      <c r="E124" s="27">
        <v>5167.68</v>
      </c>
      <c r="F124" s="10">
        <f ca="1">IF(AR_table!$D124&gt;=TODAY(),0,NETWORKDAYS(AR_table!$D124,TODAY()))</f>
        <v>59</v>
      </c>
      <c r="G124" s="13" t="str">
        <f ca="1">VLOOKUP(AR_table!$F124,aging_bucket[#All],2)</f>
        <v>31-60</v>
      </c>
    </row>
    <row r="125" spans="1:7" x14ac:dyDescent="0.3">
      <c r="A125" s="12" t="s">
        <v>123</v>
      </c>
      <c r="B125" s="10" t="s">
        <v>595</v>
      </c>
      <c r="C125" s="14">
        <v>45875</v>
      </c>
      <c r="D125" s="14">
        <f>WORKDAY(AR_table!$C125,$J$1)</f>
        <v>45917</v>
      </c>
      <c r="E125" s="15">
        <v>3033.26</v>
      </c>
      <c r="F125" s="10">
        <f ca="1">IF(AR_table!$D125&gt;=TODAY(),0,NETWORKDAYS(AR_table!$D125,TODAY()))</f>
        <v>106</v>
      </c>
      <c r="G125" s="10" t="str">
        <f ca="1">VLOOKUP(AR_table!$F125,aging_bucket[#All],2)</f>
        <v>&gt;90</v>
      </c>
    </row>
    <row r="126" spans="1:7" x14ac:dyDescent="0.3">
      <c r="A126" s="25" t="s">
        <v>124</v>
      </c>
      <c r="B126" s="13" t="s">
        <v>595</v>
      </c>
      <c r="C126" s="26">
        <v>45970</v>
      </c>
      <c r="D126" s="26">
        <f>WORKDAY(AR_table!$C126,$J$1)</f>
        <v>46010</v>
      </c>
      <c r="E126" s="27">
        <v>4360.84</v>
      </c>
      <c r="F126" s="10">
        <f ca="1">IF(AR_table!$D126&gt;=TODAY(),0,NETWORKDAYS(AR_table!$D126,TODAY()))</f>
        <v>39</v>
      </c>
      <c r="G126" s="13" t="str">
        <f ca="1">VLOOKUP(AR_table!$F126,aging_bucket[#All],2)</f>
        <v>31-60</v>
      </c>
    </row>
    <row r="127" spans="1:7" x14ac:dyDescent="0.3">
      <c r="A127" s="12" t="s">
        <v>125</v>
      </c>
      <c r="B127" s="10" t="s">
        <v>594</v>
      </c>
      <c r="C127" s="14">
        <v>45738</v>
      </c>
      <c r="D127" s="14">
        <f>WORKDAY(AR_table!$C127,$J$1)</f>
        <v>45779</v>
      </c>
      <c r="E127" s="15">
        <v>3594.45</v>
      </c>
      <c r="F127" s="10">
        <f ca="1">IF(AR_table!$D127&gt;=TODAY(),0,NETWORKDAYS(AR_table!$D127,TODAY()))</f>
        <v>204</v>
      </c>
      <c r="G127" s="10" t="str">
        <f ca="1">VLOOKUP(AR_table!$F127,aging_bucket[#All],2)</f>
        <v>&gt;90</v>
      </c>
    </row>
    <row r="128" spans="1:7" x14ac:dyDescent="0.3">
      <c r="A128" s="25" t="s">
        <v>126</v>
      </c>
      <c r="B128" s="13" t="s">
        <v>594</v>
      </c>
      <c r="C128" s="26">
        <v>46048</v>
      </c>
      <c r="D128" s="26">
        <f>WORKDAY(AR_table!$C128,$J$1)</f>
        <v>46090</v>
      </c>
      <c r="E128" s="27">
        <v>532.94000000000005</v>
      </c>
      <c r="F128" s="10">
        <f ca="1">IF(AR_table!$D128&gt;=TODAY(),0,NETWORKDAYS(AR_table!$D128,TODAY()))</f>
        <v>0</v>
      </c>
      <c r="G128" s="13" t="str">
        <f ca="1">VLOOKUP(AR_table!$F128,aging_bucket[#All],2)</f>
        <v>Not due</v>
      </c>
    </row>
    <row r="129" spans="1:7" x14ac:dyDescent="0.3">
      <c r="A129" s="12" t="s">
        <v>127</v>
      </c>
      <c r="B129" s="10" t="s">
        <v>593</v>
      </c>
      <c r="C129" s="14">
        <v>45813</v>
      </c>
      <c r="D129" s="14">
        <f>WORKDAY(AR_table!$C129,$J$1)</f>
        <v>45855</v>
      </c>
      <c r="E129" s="15">
        <v>3313.6</v>
      </c>
      <c r="F129" s="10">
        <f ca="1">IF(AR_table!$D129&gt;=TODAY(),0,NETWORKDAYS(AR_table!$D129,TODAY()))</f>
        <v>150</v>
      </c>
      <c r="G129" s="10" t="str">
        <f ca="1">VLOOKUP(AR_table!$F129,aging_bucket[#All],2)</f>
        <v>&gt;90</v>
      </c>
    </row>
    <row r="130" spans="1:7" x14ac:dyDescent="0.3">
      <c r="A130" s="25" t="s">
        <v>128</v>
      </c>
      <c r="B130" s="13" t="s">
        <v>593</v>
      </c>
      <c r="C130" s="26">
        <v>45902</v>
      </c>
      <c r="D130" s="26">
        <f>WORKDAY(AR_table!$C130,$J$1)</f>
        <v>45944</v>
      </c>
      <c r="E130" s="27">
        <v>1217.21</v>
      </c>
      <c r="F130" s="10">
        <f ca="1">IF(AR_table!$D130&gt;=TODAY(),0,NETWORKDAYS(AR_table!$D130,TODAY()))</f>
        <v>87</v>
      </c>
      <c r="G130" s="13" t="str">
        <f ca="1">VLOOKUP(AR_table!$F130,aging_bucket[#All],2)</f>
        <v>61-90</v>
      </c>
    </row>
    <row r="131" spans="1:7" x14ac:dyDescent="0.3">
      <c r="A131" s="12" t="s">
        <v>129</v>
      </c>
      <c r="B131" s="10" t="s">
        <v>591</v>
      </c>
      <c r="C131" s="14">
        <v>45693</v>
      </c>
      <c r="D131" s="14">
        <f>WORKDAY(AR_table!$C131,$J$1)</f>
        <v>45735</v>
      </c>
      <c r="E131" s="15">
        <v>2638.46</v>
      </c>
      <c r="F131" s="10">
        <f ca="1">IF(AR_table!$D131&gt;=TODAY(),0,NETWORKDAYS(AR_table!$D131,TODAY()))</f>
        <v>236</v>
      </c>
      <c r="G131" s="10" t="str">
        <f ca="1">VLOOKUP(AR_table!$F131,aging_bucket[#All],2)</f>
        <v>&gt;90</v>
      </c>
    </row>
    <row r="132" spans="1:7" x14ac:dyDescent="0.3">
      <c r="A132" s="25" t="s">
        <v>130</v>
      </c>
      <c r="B132" s="13" t="s">
        <v>593</v>
      </c>
      <c r="C132" s="26">
        <v>45738</v>
      </c>
      <c r="D132" s="26">
        <f>WORKDAY(AR_table!$C132,$J$1)</f>
        <v>45779</v>
      </c>
      <c r="E132" s="27">
        <v>1769.81</v>
      </c>
      <c r="F132" s="10">
        <f ca="1">IF(AR_table!$D132&gt;=TODAY(),0,NETWORKDAYS(AR_table!$D132,TODAY()))</f>
        <v>204</v>
      </c>
      <c r="G132" s="13" t="str">
        <f ca="1">VLOOKUP(AR_table!$F132,aging_bucket[#All],2)</f>
        <v>&gt;90</v>
      </c>
    </row>
    <row r="133" spans="1:7" x14ac:dyDescent="0.3">
      <c r="A133" s="12" t="s">
        <v>131</v>
      </c>
      <c r="B133" s="10" t="s">
        <v>592</v>
      </c>
      <c r="C133" s="14">
        <v>46093</v>
      </c>
      <c r="D133" s="14">
        <f>WORKDAY(AR_table!$C133,$J$1)</f>
        <v>46135</v>
      </c>
      <c r="E133" s="15">
        <v>358</v>
      </c>
      <c r="F133" s="10">
        <f ca="1">IF(AR_table!$D133&gt;=TODAY(),0,NETWORKDAYS(AR_table!$D133,TODAY()))</f>
        <v>0</v>
      </c>
      <c r="G133" s="10" t="str">
        <f ca="1">VLOOKUP(AR_table!$F133,aging_bucket[#All],2)</f>
        <v>Not due</v>
      </c>
    </row>
    <row r="134" spans="1:7" x14ac:dyDescent="0.3">
      <c r="A134" s="25" t="s">
        <v>132</v>
      </c>
      <c r="B134" s="13" t="s">
        <v>595</v>
      </c>
      <c r="C134" s="26">
        <v>45818</v>
      </c>
      <c r="D134" s="26">
        <f>WORKDAY(AR_table!$C134,$J$1)</f>
        <v>45860</v>
      </c>
      <c r="E134" s="27">
        <v>6116.96</v>
      </c>
      <c r="F134" s="10">
        <f ca="1">IF(AR_table!$D134&gt;=TODAY(),0,NETWORKDAYS(AR_table!$D134,TODAY()))</f>
        <v>147</v>
      </c>
      <c r="G134" s="13" t="str">
        <f ca="1">VLOOKUP(AR_table!$F134,aging_bucket[#All],2)</f>
        <v>&gt;90</v>
      </c>
    </row>
    <row r="135" spans="1:7" x14ac:dyDescent="0.3">
      <c r="A135" s="12" t="s">
        <v>133</v>
      </c>
      <c r="B135" s="10" t="s">
        <v>592</v>
      </c>
      <c r="C135" s="14">
        <v>45737</v>
      </c>
      <c r="D135" s="14">
        <f>WORKDAY(AR_table!$C135,$J$1)</f>
        <v>45779</v>
      </c>
      <c r="E135" s="15">
        <v>4500.46</v>
      </c>
      <c r="F135" s="10">
        <f ca="1">IF(AR_table!$D135&gt;=TODAY(),0,NETWORKDAYS(AR_table!$D135,TODAY()))</f>
        <v>204</v>
      </c>
      <c r="G135" s="10" t="str">
        <f ca="1">VLOOKUP(AR_table!$F135,aging_bucket[#All],2)</f>
        <v>&gt;90</v>
      </c>
    </row>
    <row r="136" spans="1:7" x14ac:dyDescent="0.3">
      <c r="A136" s="25" t="s">
        <v>134</v>
      </c>
      <c r="B136" s="13" t="s">
        <v>593</v>
      </c>
      <c r="C136" s="26">
        <v>45920</v>
      </c>
      <c r="D136" s="26">
        <f>WORKDAY(AR_table!$C136,$J$1)</f>
        <v>45961</v>
      </c>
      <c r="E136" s="27">
        <v>5401.26</v>
      </c>
      <c r="F136" s="10">
        <f ca="1">IF(AR_table!$D136&gt;=TODAY(),0,NETWORKDAYS(AR_table!$D136,TODAY()))</f>
        <v>74</v>
      </c>
      <c r="G136" s="13" t="str">
        <f ca="1">VLOOKUP(AR_table!$F136,aging_bucket[#All],2)</f>
        <v>61-90</v>
      </c>
    </row>
    <row r="137" spans="1:7" x14ac:dyDescent="0.3">
      <c r="A137" s="12" t="s">
        <v>135</v>
      </c>
      <c r="B137" s="10" t="s">
        <v>591</v>
      </c>
      <c r="C137" s="14">
        <v>46123</v>
      </c>
      <c r="D137" s="14">
        <f>WORKDAY(AR_table!$C137,$J$1)</f>
        <v>46164</v>
      </c>
      <c r="E137" s="15">
        <v>1321.36</v>
      </c>
      <c r="F137" s="10">
        <f ca="1">IF(AR_table!$D137&gt;=TODAY(),0,NETWORKDAYS(AR_table!$D137,TODAY()))</f>
        <v>0</v>
      </c>
      <c r="G137" s="10" t="str">
        <f ca="1">VLOOKUP(AR_table!$F137,aging_bucket[#All],2)</f>
        <v>Not due</v>
      </c>
    </row>
    <row r="138" spans="1:7" x14ac:dyDescent="0.3">
      <c r="A138" s="12" t="s">
        <v>136</v>
      </c>
      <c r="B138" s="10" t="s">
        <v>591</v>
      </c>
      <c r="C138" s="14">
        <v>45812</v>
      </c>
      <c r="D138" s="14">
        <f>WORKDAY(AR_table!$C138,$J$1)</f>
        <v>45854</v>
      </c>
      <c r="E138" s="15">
        <v>1910.09</v>
      </c>
      <c r="F138" s="10">
        <f ca="1">IF(AR_table!$D138&gt;=TODAY(),0,NETWORKDAYS(AR_table!$D138,TODAY()))</f>
        <v>151</v>
      </c>
      <c r="G138" s="10" t="str">
        <f ca="1">VLOOKUP(AR_table!$F138,aging_bucket[#All],2)</f>
        <v>&gt;90</v>
      </c>
    </row>
    <row r="139" spans="1:7" x14ac:dyDescent="0.3">
      <c r="A139" s="25" t="s">
        <v>137</v>
      </c>
      <c r="B139" s="13" t="s">
        <v>594</v>
      </c>
      <c r="C139" s="26">
        <v>45706</v>
      </c>
      <c r="D139" s="26">
        <f>WORKDAY(AR_table!$C139,$J$1)</f>
        <v>45748</v>
      </c>
      <c r="E139" s="27">
        <v>1732.73</v>
      </c>
      <c r="F139" s="10">
        <f ca="1">IF(AR_table!$D139&gt;=TODAY(),0,NETWORKDAYS(AR_table!$D139,TODAY()))</f>
        <v>227</v>
      </c>
      <c r="G139" s="13" t="str">
        <f ca="1">VLOOKUP(AR_table!$F139,aging_bucket[#All],2)</f>
        <v>&gt;90</v>
      </c>
    </row>
    <row r="140" spans="1:7" x14ac:dyDescent="0.3">
      <c r="A140" s="12" t="s">
        <v>138</v>
      </c>
      <c r="B140" s="10" t="s">
        <v>593</v>
      </c>
      <c r="C140" s="14">
        <v>45966</v>
      </c>
      <c r="D140" s="14">
        <f>WORKDAY(AR_table!$C140,$J$1)</f>
        <v>46008</v>
      </c>
      <c r="E140" s="15">
        <v>7442.79</v>
      </c>
      <c r="F140" s="10">
        <f ca="1">IF(AR_table!$D140&gt;=TODAY(),0,NETWORKDAYS(AR_table!$D140,TODAY()))</f>
        <v>41</v>
      </c>
      <c r="G140" s="10" t="str">
        <f ca="1">VLOOKUP(AR_table!$F140,aging_bucket[#All],2)</f>
        <v>31-60</v>
      </c>
    </row>
    <row r="141" spans="1:7" x14ac:dyDescent="0.3">
      <c r="A141" s="25" t="s">
        <v>139</v>
      </c>
      <c r="B141" s="13" t="s">
        <v>592</v>
      </c>
      <c r="C141" s="26">
        <v>46179</v>
      </c>
      <c r="D141" s="26">
        <f>WORKDAY(AR_table!$C141,$J$1)</f>
        <v>46220</v>
      </c>
      <c r="E141" s="27">
        <v>7828.34</v>
      </c>
      <c r="F141" s="10">
        <f ca="1">IF(AR_table!$D141&gt;=TODAY(),0,NETWORKDAYS(AR_table!$D141,TODAY()))</f>
        <v>0</v>
      </c>
      <c r="G141" s="13" t="str">
        <f ca="1">VLOOKUP(AR_table!$F141,aging_bucket[#All],2)</f>
        <v>Not due</v>
      </c>
    </row>
    <row r="142" spans="1:7" x14ac:dyDescent="0.3">
      <c r="A142" s="12" t="s">
        <v>140</v>
      </c>
      <c r="B142" s="10" t="s">
        <v>595</v>
      </c>
      <c r="C142" s="14">
        <v>45658</v>
      </c>
      <c r="D142" s="14">
        <f>WORKDAY(AR_table!$C142,$J$1)</f>
        <v>45700</v>
      </c>
      <c r="E142" s="15">
        <v>3603.21</v>
      </c>
      <c r="F142" s="10">
        <f ca="1">IF(AR_table!$D142&gt;=TODAY(),0,NETWORKDAYS(AR_table!$D142,TODAY()))</f>
        <v>261</v>
      </c>
      <c r="G142" s="10" t="str">
        <f ca="1">VLOOKUP(AR_table!$F142,aging_bucket[#All],2)</f>
        <v>&gt;90</v>
      </c>
    </row>
    <row r="143" spans="1:7" x14ac:dyDescent="0.3">
      <c r="A143" s="25" t="s">
        <v>141</v>
      </c>
      <c r="B143" s="13" t="s">
        <v>594</v>
      </c>
      <c r="C143" s="26">
        <v>45679</v>
      </c>
      <c r="D143" s="26">
        <f>WORKDAY(AR_table!$C143,$J$1)</f>
        <v>45721</v>
      </c>
      <c r="E143" s="27">
        <v>4742.33</v>
      </c>
      <c r="F143" s="10">
        <f ca="1">IF(AR_table!$D143&gt;=TODAY(),0,NETWORKDAYS(AR_table!$D143,TODAY()))</f>
        <v>246</v>
      </c>
      <c r="G143" s="13" t="str">
        <f ca="1">VLOOKUP(AR_table!$F143,aging_bucket[#All],2)</f>
        <v>&gt;90</v>
      </c>
    </row>
    <row r="144" spans="1:7" x14ac:dyDescent="0.3">
      <c r="A144" s="12" t="s">
        <v>142</v>
      </c>
      <c r="B144" s="10" t="s">
        <v>592</v>
      </c>
      <c r="C144" s="14">
        <v>46060</v>
      </c>
      <c r="D144" s="14">
        <f>WORKDAY(AR_table!$C144,$J$1)</f>
        <v>46101</v>
      </c>
      <c r="E144" s="15">
        <v>5745.4</v>
      </c>
      <c r="F144" s="10">
        <f ca="1">IF(AR_table!$D144&gt;=TODAY(),0,NETWORKDAYS(AR_table!$D144,TODAY()))</f>
        <v>0</v>
      </c>
      <c r="G144" s="10" t="str">
        <f ca="1">VLOOKUP(AR_table!$F144,aging_bucket[#All],2)</f>
        <v>Not due</v>
      </c>
    </row>
    <row r="145" spans="1:7" x14ac:dyDescent="0.3">
      <c r="A145" s="25" t="s">
        <v>143</v>
      </c>
      <c r="B145" s="13" t="s">
        <v>594</v>
      </c>
      <c r="C145" s="26">
        <v>45856</v>
      </c>
      <c r="D145" s="26">
        <f>WORKDAY(AR_table!$C145,$J$1)</f>
        <v>45898</v>
      </c>
      <c r="E145" s="27">
        <v>6440.55</v>
      </c>
      <c r="F145" s="10">
        <f ca="1">IF(AR_table!$D145&gt;=TODAY(),0,NETWORKDAYS(AR_table!$D145,TODAY()))</f>
        <v>119</v>
      </c>
      <c r="G145" s="13" t="str">
        <f ca="1">VLOOKUP(AR_table!$F145,aging_bucket[#All],2)</f>
        <v>&gt;90</v>
      </c>
    </row>
    <row r="146" spans="1:7" x14ac:dyDescent="0.3">
      <c r="A146" s="25" t="s">
        <v>144</v>
      </c>
      <c r="B146" s="13" t="s">
        <v>595</v>
      </c>
      <c r="C146" s="26">
        <v>46150</v>
      </c>
      <c r="D146" s="26">
        <f>WORKDAY(AR_table!$C146,$J$1)</f>
        <v>46192</v>
      </c>
      <c r="E146" s="27">
        <v>3067.69</v>
      </c>
      <c r="F146" s="10">
        <f ca="1">IF(AR_table!$D146&gt;=TODAY(),0,NETWORKDAYS(AR_table!$D146,TODAY()))</f>
        <v>0</v>
      </c>
      <c r="G146" s="13" t="str">
        <f ca="1">VLOOKUP(AR_table!$F146,aging_bucket[#All],2)</f>
        <v>Not due</v>
      </c>
    </row>
    <row r="147" spans="1:7" x14ac:dyDescent="0.3">
      <c r="A147" s="12" t="s">
        <v>145</v>
      </c>
      <c r="B147" s="10" t="s">
        <v>593</v>
      </c>
      <c r="C147" s="14">
        <v>45822</v>
      </c>
      <c r="D147" s="14">
        <f>WORKDAY(AR_table!$C147,$J$1)</f>
        <v>45863</v>
      </c>
      <c r="E147" s="15">
        <v>3030.85</v>
      </c>
      <c r="F147" s="10">
        <f ca="1">IF(AR_table!$D147&gt;=TODAY(),0,NETWORKDAYS(AR_table!$D147,TODAY()))</f>
        <v>144</v>
      </c>
      <c r="G147" s="10" t="str">
        <f ca="1">VLOOKUP(AR_table!$F147,aging_bucket[#All],2)</f>
        <v>&gt;90</v>
      </c>
    </row>
    <row r="148" spans="1:7" x14ac:dyDescent="0.3">
      <c r="A148" s="25" t="s">
        <v>146</v>
      </c>
      <c r="B148" s="13" t="s">
        <v>594</v>
      </c>
      <c r="C148" s="26">
        <v>45769</v>
      </c>
      <c r="D148" s="26">
        <f>WORKDAY(AR_table!$C148,$J$1)</f>
        <v>45811</v>
      </c>
      <c r="E148" s="27">
        <v>6545.56</v>
      </c>
      <c r="F148" s="10">
        <f ca="1">IF(AR_table!$D148&gt;=TODAY(),0,NETWORKDAYS(AR_table!$D148,TODAY()))</f>
        <v>182</v>
      </c>
      <c r="G148" s="13" t="str">
        <f ca="1">VLOOKUP(AR_table!$F148,aging_bucket[#All],2)</f>
        <v>&gt;90</v>
      </c>
    </row>
    <row r="149" spans="1:7" x14ac:dyDescent="0.3">
      <c r="A149" s="12" t="s">
        <v>147</v>
      </c>
      <c r="B149" s="10" t="s">
        <v>593</v>
      </c>
      <c r="C149" s="14">
        <v>45977</v>
      </c>
      <c r="D149" s="14">
        <f>WORKDAY(AR_table!$C149,$J$1)</f>
        <v>46017</v>
      </c>
      <c r="E149" s="15">
        <v>4888.93</v>
      </c>
      <c r="F149" s="10">
        <f ca="1">IF(AR_table!$D149&gt;=TODAY(),0,NETWORKDAYS(AR_table!$D149,TODAY()))</f>
        <v>34</v>
      </c>
      <c r="G149" s="10" t="str">
        <f ca="1">VLOOKUP(AR_table!$F149,aging_bucket[#All],2)</f>
        <v>31-60</v>
      </c>
    </row>
    <row r="150" spans="1:7" x14ac:dyDescent="0.3">
      <c r="A150" s="25" t="s">
        <v>148</v>
      </c>
      <c r="B150" s="13" t="s">
        <v>594</v>
      </c>
      <c r="C150" s="26">
        <v>45743</v>
      </c>
      <c r="D150" s="26">
        <f>WORKDAY(AR_table!$C150,$J$1)</f>
        <v>45785</v>
      </c>
      <c r="E150" s="27">
        <v>3415.75</v>
      </c>
      <c r="F150" s="10">
        <f ca="1">IF(AR_table!$D150&gt;=TODAY(),0,NETWORKDAYS(AR_table!$D150,TODAY()))</f>
        <v>200</v>
      </c>
      <c r="G150" s="13" t="str">
        <f ca="1">VLOOKUP(AR_table!$F150,aging_bucket[#All],2)</f>
        <v>&gt;90</v>
      </c>
    </row>
    <row r="151" spans="1:7" x14ac:dyDescent="0.3">
      <c r="A151" s="12" t="s">
        <v>149</v>
      </c>
      <c r="B151" s="10" t="s">
        <v>591</v>
      </c>
      <c r="C151" s="14">
        <v>45674</v>
      </c>
      <c r="D151" s="14">
        <f>WORKDAY(AR_table!$C151,$J$1)</f>
        <v>45716</v>
      </c>
      <c r="E151" s="15">
        <v>7943.83</v>
      </c>
      <c r="F151" s="10">
        <f ca="1">IF(AR_table!$D151&gt;=TODAY(),0,NETWORKDAYS(AR_table!$D151,TODAY()))</f>
        <v>249</v>
      </c>
      <c r="G151" s="10" t="str">
        <f ca="1">VLOOKUP(AR_table!$F151,aging_bucket[#All],2)</f>
        <v>&gt;90</v>
      </c>
    </row>
    <row r="152" spans="1:7" x14ac:dyDescent="0.3">
      <c r="A152" s="25" t="s">
        <v>150</v>
      </c>
      <c r="B152" s="13" t="s">
        <v>594</v>
      </c>
      <c r="C152" s="26">
        <v>45924</v>
      </c>
      <c r="D152" s="26">
        <f>WORKDAY(AR_table!$C152,$J$1)</f>
        <v>45966</v>
      </c>
      <c r="E152" s="27">
        <v>247.4</v>
      </c>
      <c r="F152" s="10">
        <f ca="1">IF(AR_table!$D152&gt;=TODAY(),0,NETWORKDAYS(AR_table!$D152,TODAY()))</f>
        <v>71</v>
      </c>
      <c r="G152" s="13" t="str">
        <f ca="1">VLOOKUP(AR_table!$F152,aging_bucket[#All],2)</f>
        <v>61-90</v>
      </c>
    </row>
    <row r="153" spans="1:7" x14ac:dyDescent="0.3">
      <c r="A153" s="12" t="s">
        <v>151</v>
      </c>
      <c r="B153" s="10" t="s">
        <v>594</v>
      </c>
      <c r="C153" s="14">
        <v>45927</v>
      </c>
      <c r="D153" s="14">
        <f>WORKDAY(AR_table!$C153,$J$1)</f>
        <v>45968</v>
      </c>
      <c r="E153" s="15">
        <v>1967.78</v>
      </c>
      <c r="F153" s="10">
        <f ca="1">IF(AR_table!$D153&gt;=TODAY(),0,NETWORKDAYS(AR_table!$D153,TODAY()))</f>
        <v>69</v>
      </c>
      <c r="G153" s="10" t="str">
        <f ca="1">VLOOKUP(AR_table!$F153,aging_bucket[#All],2)</f>
        <v>61-90</v>
      </c>
    </row>
    <row r="154" spans="1:7" x14ac:dyDescent="0.3">
      <c r="A154" s="25" t="s">
        <v>152</v>
      </c>
      <c r="B154" s="13" t="s">
        <v>591</v>
      </c>
      <c r="C154" s="26">
        <v>45909</v>
      </c>
      <c r="D154" s="26">
        <f>WORKDAY(AR_table!$C154,$J$1)</f>
        <v>45951</v>
      </c>
      <c r="E154" s="27">
        <v>7603.86</v>
      </c>
      <c r="F154" s="10">
        <f ca="1">IF(AR_table!$D154&gt;=TODAY(),0,NETWORKDAYS(AR_table!$D154,TODAY()))</f>
        <v>82</v>
      </c>
      <c r="G154" s="13" t="str">
        <f ca="1">VLOOKUP(AR_table!$F154,aging_bucket[#All],2)</f>
        <v>61-90</v>
      </c>
    </row>
    <row r="155" spans="1:7" x14ac:dyDescent="0.3">
      <c r="A155" s="12" t="s">
        <v>153</v>
      </c>
      <c r="B155" s="10" t="s">
        <v>595</v>
      </c>
      <c r="C155" s="14">
        <v>45880</v>
      </c>
      <c r="D155" s="14">
        <f>WORKDAY(AR_table!$C155,$J$1)</f>
        <v>45922</v>
      </c>
      <c r="E155" s="15">
        <v>7290.34</v>
      </c>
      <c r="F155" s="10">
        <f ca="1">IF(AR_table!$D155&gt;=TODAY(),0,NETWORKDAYS(AR_table!$D155,TODAY()))</f>
        <v>103</v>
      </c>
      <c r="G155" s="10" t="str">
        <f ca="1">VLOOKUP(AR_table!$F155,aging_bucket[#All],2)</f>
        <v>&gt;90</v>
      </c>
    </row>
    <row r="156" spans="1:7" x14ac:dyDescent="0.3">
      <c r="A156" s="25" t="s">
        <v>154</v>
      </c>
      <c r="B156" s="13" t="s">
        <v>594</v>
      </c>
      <c r="C156" s="26">
        <v>45842</v>
      </c>
      <c r="D156" s="26">
        <f>WORKDAY(AR_table!$C156,$J$1)</f>
        <v>45884</v>
      </c>
      <c r="E156" s="27">
        <v>2291.87</v>
      </c>
      <c r="F156" s="10">
        <f ca="1">IF(AR_table!$D156&gt;=TODAY(),0,NETWORKDAYS(AR_table!$D156,TODAY()))</f>
        <v>129</v>
      </c>
      <c r="G156" s="13" t="str">
        <f ca="1">VLOOKUP(AR_table!$F156,aging_bucket[#All],2)</f>
        <v>&gt;90</v>
      </c>
    </row>
    <row r="157" spans="1:7" x14ac:dyDescent="0.3">
      <c r="A157" s="12" t="s">
        <v>155</v>
      </c>
      <c r="B157" s="10" t="s">
        <v>595</v>
      </c>
      <c r="C157" s="14">
        <v>45743</v>
      </c>
      <c r="D157" s="14">
        <f>WORKDAY(AR_table!$C157,$J$1)</f>
        <v>45785</v>
      </c>
      <c r="E157" s="15">
        <v>2360.7199999999998</v>
      </c>
      <c r="F157" s="10">
        <f ca="1">IF(AR_table!$D157&gt;=TODAY(),0,NETWORKDAYS(AR_table!$D157,TODAY()))</f>
        <v>200</v>
      </c>
      <c r="G157" s="10" t="str">
        <f ca="1">VLOOKUP(AR_table!$F157,aging_bucket[#All],2)</f>
        <v>&gt;90</v>
      </c>
    </row>
    <row r="158" spans="1:7" x14ac:dyDescent="0.3">
      <c r="A158" s="25" t="s">
        <v>156</v>
      </c>
      <c r="B158" s="13" t="s">
        <v>594</v>
      </c>
      <c r="C158" s="26">
        <v>45803</v>
      </c>
      <c r="D158" s="26">
        <f>WORKDAY(AR_table!$C158,$J$1)</f>
        <v>45845</v>
      </c>
      <c r="E158" s="27">
        <v>673.24</v>
      </c>
      <c r="F158" s="10">
        <f ca="1">IF(AR_table!$D158&gt;=TODAY(),0,NETWORKDAYS(AR_table!$D158,TODAY()))</f>
        <v>158</v>
      </c>
      <c r="G158" s="13" t="str">
        <f ca="1">VLOOKUP(AR_table!$F158,aging_bucket[#All],2)</f>
        <v>&gt;90</v>
      </c>
    </row>
    <row r="159" spans="1:7" x14ac:dyDescent="0.3">
      <c r="A159" s="12" t="s">
        <v>157</v>
      </c>
      <c r="B159" s="10" t="s">
        <v>592</v>
      </c>
      <c r="C159" s="14">
        <v>45713</v>
      </c>
      <c r="D159" s="14">
        <f>WORKDAY(AR_table!$C159,$J$1)</f>
        <v>45755</v>
      </c>
      <c r="E159" s="15">
        <v>3221.68</v>
      </c>
      <c r="F159" s="10">
        <f ca="1">IF(AR_table!$D159&gt;=TODAY(),0,NETWORKDAYS(AR_table!$D159,TODAY()))</f>
        <v>222</v>
      </c>
      <c r="G159" s="10" t="str">
        <f ca="1">VLOOKUP(AR_table!$F159,aging_bucket[#All],2)</f>
        <v>&gt;90</v>
      </c>
    </row>
    <row r="160" spans="1:7" x14ac:dyDescent="0.3">
      <c r="A160" s="12" t="s">
        <v>158</v>
      </c>
      <c r="B160" s="10" t="s">
        <v>594</v>
      </c>
      <c r="C160" s="14">
        <v>46162</v>
      </c>
      <c r="D160" s="14">
        <f>WORKDAY(AR_table!$C160,$J$1)</f>
        <v>46204</v>
      </c>
      <c r="E160" s="15">
        <v>3317.09</v>
      </c>
      <c r="F160" s="10">
        <f ca="1">IF(AR_table!$D160&gt;=TODAY(),0,NETWORKDAYS(AR_table!$D160,TODAY()))</f>
        <v>0</v>
      </c>
      <c r="G160" s="10" t="str">
        <f ca="1">VLOOKUP(AR_table!$F160,aging_bucket[#All],2)</f>
        <v>Not due</v>
      </c>
    </row>
    <row r="161" spans="1:7" x14ac:dyDescent="0.3">
      <c r="A161" s="25" t="s">
        <v>159</v>
      </c>
      <c r="B161" s="13" t="s">
        <v>592</v>
      </c>
      <c r="C161" s="26">
        <v>45744</v>
      </c>
      <c r="D161" s="26">
        <f>WORKDAY(AR_table!$C161,$J$1)</f>
        <v>45786</v>
      </c>
      <c r="E161" s="27">
        <v>3325.12</v>
      </c>
      <c r="F161" s="10">
        <f ca="1">IF(AR_table!$D161&gt;=TODAY(),0,NETWORKDAYS(AR_table!$D161,TODAY()))</f>
        <v>199</v>
      </c>
      <c r="G161" s="13" t="str">
        <f ca="1">VLOOKUP(AR_table!$F161,aging_bucket[#All],2)</f>
        <v>&gt;90</v>
      </c>
    </row>
    <row r="162" spans="1:7" x14ac:dyDescent="0.3">
      <c r="A162" s="12" t="s">
        <v>160</v>
      </c>
      <c r="B162" s="10" t="s">
        <v>594</v>
      </c>
      <c r="C162" s="14">
        <v>46072</v>
      </c>
      <c r="D162" s="14">
        <f>WORKDAY(AR_table!$C162,$J$1)</f>
        <v>46114</v>
      </c>
      <c r="E162" s="15">
        <v>4585.18</v>
      </c>
      <c r="F162" s="10">
        <f ca="1">IF(AR_table!$D162&gt;=TODAY(),0,NETWORKDAYS(AR_table!$D162,TODAY()))</f>
        <v>0</v>
      </c>
      <c r="G162" s="10" t="str">
        <f ca="1">VLOOKUP(AR_table!$F162,aging_bucket[#All],2)</f>
        <v>Not due</v>
      </c>
    </row>
    <row r="163" spans="1:7" x14ac:dyDescent="0.3">
      <c r="A163" s="12" t="s">
        <v>162</v>
      </c>
      <c r="B163" s="10" t="s">
        <v>593</v>
      </c>
      <c r="C163" s="14">
        <v>45820</v>
      </c>
      <c r="D163" s="14">
        <f>WORKDAY(AR_table!$C163,$J$1)</f>
        <v>45862</v>
      </c>
      <c r="E163" s="15">
        <v>1165.07</v>
      </c>
      <c r="F163" s="10">
        <f ca="1">IF(AR_table!$D163&gt;=TODAY(),0,NETWORKDAYS(AR_table!$D163,TODAY()))</f>
        <v>145</v>
      </c>
      <c r="G163" s="10" t="str">
        <f ca="1">VLOOKUP(AR_table!$F163,aging_bucket[#All],2)</f>
        <v>&gt;90</v>
      </c>
    </row>
    <row r="164" spans="1:7" x14ac:dyDescent="0.3">
      <c r="A164" s="12" t="s">
        <v>157</v>
      </c>
      <c r="B164" s="10" t="s">
        <v>593</v>
      </c>
      <c r="C164" s="14">
        <v>45769</v>
      </c>
      <c r="D164" s="14">
        <f>WORKDAY(AR_table!$C164,$J$1)</f>
        <v>45811</v>
      </c>
      <c r="E164" s="15">
        <v>1188.28</v>
      </c>
      <c r="F164" s="10">
        <f ca="1">IF(AR_table!$D164&gt;=TODAY(),0,NETWORKDAYS(AR_table!$D164,TODAY()))</f>
        <v>182</v>
      </c>
      <c r="G164" s="10" t="str">
        <f ca="1">VLOOKUP(AR_table!$F164,aging_bucket[#All],2)</f>
        <v>&gt;90</v>
      </c>
    </row>
    <row r="165" spans="1:7" x14ac:dyDescent="0.3">
      <c r="A165" s="12" t="s">
        <v>158</v>
      </c>
      <c r="B165" s="10" t="s">
        <v>595</v>
      </c>
      <c r="C165" s="14">
        <v>46066</v>
      </c>
      <c r="D165" s="14">
        <f>WORKDAY(AR_table!$C165,$J$1)</f>
        <v>46108</v>
      </c>
      <c r="E165" s="15">
        <v>534.33000000000004</v>
      </c>
      <c r="F165" s="10">
        <f ca="1">IF(AR_table!$D165&gt;=TODAY(),0,NETWORKDAYS(AR_table!$D165,TODAY()))</f>
        <v>0</v>
      </c>
      <c r="G165" s="10" t="str">
        <f ca="1">VLOOKUP(AR_table!$F165,aging_bucket[#All],2)</f>
        <v>Not due</v>
      </c>
    </row>
    <row r="166" spans="1:7" x14ac:dyDescent="0.3">
      <c r="A166" s="25" t="s">
        <v>159</v>
      </c>
      <c r="B166" s="13" t="s">
        <v>591</v>
      </c>
      <c r="C166" s="26">
        <v>45842</v>
      </c>
      <c r="D166" s="26">
        <f>WORKDAY(AR_table!$C166,$J$1)</f>
        <v>45884</v>
      </c>
      <c r="E166" s="27">
        <v>575.11</v>
      </c>
      <c r="F166" s="10">
        <f ca="1">IF(AR_table!$D166&gt;=TODAY(),0,NETWORKDAYS(AR_table!$D166,TODAY()))</f>
        <v>129</v>
      </c>
      <c r="G166" s="13" t="str">
        <f ca="1">VLOOKUP(AR_table!$F166,aging_bucket[#All],2)</f>
        <v>&gt;90</v>
      </c>
    </row>
    <row r="167" spans="1:7" x14ac:dyDescent="0.3">
      <c r="A167" s="12" t="s">
        <v>160</v>
      </c>
      <c r="B167" s="10" t="s">
        <v>595</v>
      </c>
      <c r="C167" s="14">
        <v>45778</v>
      </c>
      <c r="D167" s="14">
        <f>WORKDAY(AR_table!$C167,$J$1)</f>
        <v>45820</v>
      </c>
      <c r="E167" s="15">
        <v>7672.85</v>
      </c>
      <c r="F167" s="10">
        <f ca="1">IF(AR_table!$D167&gt;=TODAY(),0,NETWORKDAYS(AR_table!$D167,TODAY()))</f>
        <v>175</v>
      </c>
      <c r="G167" s="10" t="str">
        <f ca="1">VLOOKUP(AR_table!$F167,aging_bucket[#All],2)</f>
        <v>&gt;90</v>
      </c>
    </row>
    <row r="168" spans="1:7" x14ac:dyDescent="0.3">
      <c r="A168" s="25" t="s">
        <v>161</v>
      </c>
      <c r="B168" s="13" t="s">
        <v>593</v>
      </c>
      <c r="C168" s="26">
        <v>45712</v>
      </c>
      <c r="D168" s="26">
        <f>WORKDAY(AR_table!$C168,$J$1)</f>
        <v>45754</v>
      </c>
      <c r="E168" s="27">
        <v>4254.22</v>
      </c>
      <c r="F168" s="10">
        <f ca="1">IF(AR_table!$D168&gt;=TODAY(),0,NETWORKDAYS(AR_table!$D168,TODAY()))</f>
        <v>223</v>
      </c>
      <c r="G168" s="13" t="str">
        <f ca="1">VLOOKUP(AR_table!$F168,aging_bucket[#All],2)</f>
        <v>&gt;90</v>
      </c>
    </row>
    <row r="169" spans="1:7" x14ac:dyDescent="0.3">
      <c r="A169" s="25" t="s">
        <v>163</v>
      </c>
      <c r="B169" s="13" t="s">
        <v>594</v>
      </c>
      <c r="C169" s="26">
        <v>45707</v>
      </c>
      <c r="D169" s="26">
        <f>WORKDAY(AR_table!$C169,$J$1)</f>
        <v>45749</v>
      </c>
      <c r="E169" s="27">
        <v>2757.32</v>
      </c>
      <c r="F169" s="10">
        <f ca="1">IF(AR_table!$D169&gt;=TODAY(),0,NETWORKDAYS(AR_table!$D169,TODAY()))</f>
        <v>226</v>
      </c>
      <c r="G169" s="13" t="str">
        <f ca="1">VLOOKUP(AR_table!$F169,aging_bucket[#All],2)</f>
        <v>&gt;90</v>
      </c>
    </row>
    <row r="170" spans="1:7" x14ac:dyDescent="0.3">
      <c r="A170" s="12" t="s">
        <v>164</v>
      </c>
      <c r="B170" s="10" t="s">
        <v>592</v>
      </c>
      <c r="C170" s="14">
        <v>45784</v>
      </c>
      <c r="D170" s="14">
        <f>WORKDAY(AR_table!$C170,$J$1)</f>
        <v>45826</v>
      </c>
      <c r="E170" s="15">
        <v>5389.32</v>
      </c>
      <c r="F170" s="10">
        <f ca="1">IF(AR_table!$D170&gt;=TODAY(),0,NETWORKDAYS(AR_table!$D170,TODAY()))</f>
        <v>171</v>
      </c>
      <c r="G170" s="10" t="str">
        <f ca="1">VLOOKUP(AR_table!$F170,aging_bucket[#All],2)</f>
        <v>&gt;90</v>
      </c>
    </row>
    <row r="171" spans="1:7" x14ac:dyDescent="0.3">
      <c r="A171" s="25" t="s">
        <v>165</v>
      </c>
      <c r="B171" s="13" t="s">
        <v>594</v>
      </c>
      <c r="C171" s="26">
        <v>45676</v>
      </c>
      <c r="D171" s="26">
        <f>WORKDAY(AR_table!$C171,$J$1)</f>
        <v>45716</v>
      </c>
      <c r="E171" s="27">
        <v>7153.34</v>
      </c>
      <c r="F171" s="10">
        <f ca="1">IF(AR_table!$D171&gt;=TODAY(),0,NETWORKDAYS(AR_table!$D171,TODAY()))</f>
        <v>249</v>
      </c>
      <c r="G171" s="13" t="str">
        <f ca="1">VLOOKUP(AR_table!$F171,aging_bucket[#All],2)</f>
        <v>&gt;90</v>
      </c>
    </row>
    <row r="172" spans="1:7" x14ac:dyDescent="0.3">
      <c r="A172" s="25" t="s">
        <v>167</v>
      </c>
      <c r="B172" s="13" t="s">
        <v>593</v>
      </c>
      <c r="C172" s="26">
        <v>45690</v>
      </c>
      <c r="D172" s="26">
        <f>WORKDAY(AR_table!$C172,$J$1)</f>
        <v>45730</v>
      </c>
      <c r="E172" s="27">
        <v>4484.3999999999996</v>
      </c>
      <c r="F172" s="10">
        <f ca="1">IF(AR_table!$D172&gt;=TODAY(),0,NETWORKDAYS(AR_table!$D172,TODAY()))</f>
        <v>239</v>
      </c>
      <c r="G172" s="13" t="str">
        <f ca="1">VLOOKUP(AR_table!$F172,aging_bucket[#All],2)</f>
        <v>&gt;90</v>
      </c>
    </row>
    <row r="173" spans="1:7" x14ac:dyDescent="0.3">
      <c r="A173" s="12" t="s">
        <v>168</v>
      </c>
      <c r="B173" s="10" t="s">
        <v>592</v>
      </c>
      <c r="C173" s="14">
        <v>46086</v>
      </c>
      <c r="D173" s="14">
        <f>WORKDAY(AR_table!$C173,$J$1)</f>
        <v>46128</v>
      </c>
      <c r="E173" s="15">
        <v>2276.46</v>
      </c>
      <c r="F173" s="10">
        <f ca="1">IF(AR_table!$D173&gt;=TODAY(),0,NETWORKDAYS(AR_table!$D173,TODAY()))</f>
        <v>0</v>
      </c>
      <c r="G173" s="10" t="str">
        <f ca="1">VLOOKUP(AR_table!$F173,aging_bucket[#All],2)</f>
        <v>Not due</v>
      </c>
    </row>
    <row r="174" spans="1:7" x14ac:dyDescent="0.3">
      <c r="A174" s="25" t="s">
        <v>169</v>
      </c>
      <c r="B174" s="13" t="s">
        <v>592</v>
      </c>
      <c r="C174" s="26">
        <v>45923</v>
      </c>
      <c r="D174" s="26">
        <f>WORKDAY(AR_table!$C174,$J$1)</f>
        <v>45965</v>
      </c>
      <c r="E174" s="27">
        <v>3306.6</v>
      </c>
      <c r="F174" s="10">
        <f ca="1">IF(AR_table!$D174&gt;=TODAY(),0,NETWORKDAYS(AR_table!$D174,TODAY()))</f>
        <v>72</v>
      </c>
      <c r="G174" s="13" t="str">
        <f ca="1">VLOOKUP(AR_table!$F174,aging_bucket[#All],2)</f>
        <v>61-90</v>
      </c>
    </row>
    <row r="175" spans="1:7" x14ac:dyDescent="0.3">
      <c r="A175" s="12" t="s">
        <v>170</v>
      </c>
      <c r="B175" s="10" t="s">
        <v>594</v>
      </c>
      <c r="C175" s="14">
        <v>45982</v>
      </c>
      <c r="D175" s="14">
        <f>WORKDAY(AR_table!$C175,$J$1)</f>
        <v>46024</v>
      </c>
      <c r="E175" s="15">
        <v>4927.67</v>
      </c>
      <c r="F175" s="10">
        <f ca="1">IF(AR_table!$D175&gt;=TODAY(),0,NETWORKDAYS(AR_table!$D175,TODAY()))</f>
        <v>29</v>
      </c>
      <c r="G175" s="10" t="str">
        <f ca="1">VLOOKUP(AR_table!$F175,aging_bucket[#All],2)</f>
        <v>1-30</v>
      </c>
    </row>
    <row r="176" spans="1:7" x14ac:dyDescent="0.3">
      <c r="A176" s="25" t="s">
        <v>171</v>
      </c>
      <c r="B176" s="13" t="s">
        <v>594</v>
      </c>
      <c r="C176" s="26">
        <v>45810</v>
      </c>
      <c r="D176" s="26">
        <f>WORKDAY(AR_table!$C176,$J$1)</f>
        <v>45852</v>
      </c>
      <c r="E176" s="27">
        <v>3912.57</v>
      </c>
      <c r="F176" s="10">
        <f ca="1">IF(AR_table!$D176&gt;=TODAY(),0,NETWORKDAYS(AR_table!$D176,TODAY()))</f>
        <v>153</v>
      </c>
      <c r="G176" s="13" t="str">
        <f ca="1">VLOOKUP(AR_table!$F176,aging_bucket[#All],2)</f>
        <v>&gt;90</v>
      </c>
    </row>
    <row r="177" spans="1:7" x14ac:dyDescent="0.3">
      <c r="A177" s="25" t="s">
        <v>173</v>
      </c>
      <c r="B177" s="13" t="s">
        <v>591</v>
      </c>
      <c r="C177" s="26">
        <v>45803</v>
      </c>
      <c r="D177" s="26">
        <f>WORKDAY(AR_table!$C177,$J$1)</f>
        <v>45845</v>
      </c>
      <c r="E177" s="27">
        <v>4441.37</v>
      </c>
      <c r="F177" s="10">
        <f ca="1">IF(AR_table!$D177&gt;=TODAY(),0,NETWORKDAYS(AR_table!$D177,TODAY()))</f>
        <v>158</v>
      </c>
      <c r="G177" s="13" t="str">
        <f ca="1">VLOOKUP(AR_table!$F177,aging_bucket[#All],2)</f>
        <v>&gt;90</v>
      </c>
    </row>
    <row r="178" spans="1:7" x14ac:dyDescent="0.3">
      <c r="A178" s="12" t="s">
        <v>166</v>
      </c>
      <c r="B178" s="10" t="s">
        <v>591</v>
      </c>
      <c r="C178" s="14">
        <v>46176</v>
      </c>
      <c r="D178" s="14">
        <f>WORKDAY(AR_table!$C178,$J$1)</f>
        <v>46218</v>
      </c>
      <c r="E178" s="15">
        <v>7296</v>
      </c>
      <c r="F178" s="10">
        <f ca="1">IF(AR_table!$D178&gt;=TODAY(),0,NETWORKDAYS(AR_table!$D178,TODAY()))</f>
        <v>0</v>
      </c>
      <c r="G178" s="10" t="str">
        <f ca="1">VLOOKUP(AR_table!$F178,aging_bucket[#All],2)</f>
        <v>Not due</v>
      </c>
    </row>
    <row r="179" spans="1:7" x14ac:dyDescent="0.3">
      <c r="A179" s="25" t="s">
        <v>167</v>
      </c>
      <c r="B179" s="13" t="s">
        <v>592</v>
      </c>
      <c r="C179" s="26">
        <v>45940</v>
      </c>
      <c r="D179" s="26">
        <f>WORKDAY(AR_table!$C179,$J$1)</f>
        <v>45982</v>
      </c>
      <c r="E179" s="27">
        <v>2844.85</v>
      </c>
      <c r="F179" s="10">
        <f ca="1">IF(AR_table!$D179&gt;=TODAY(),0,NETWORKDAYS(AR_table!$D179,TODAY()))</f>
        <v>59</v>
      </c>
      <c r="G179" s="13" t="str">
        <f ca="1">VLOOKUP(AR_table!$F179,aging_bucket[#All],2)</f>
        <v>31-60</v>
      </c>
    </row>
    <row r="180" spans="1:7" x14ac:dyDescent="0.3">
      <c r="A180" s="12" t="s">
        <v>168</v>
      </c>
      <c r="B180" s="10" t="s">
        <v>591</v>
      </c>
      <c r="C180" s="14">
        <v>45706</v>
      </c>
      <c r="D180" s="14">
        <f>WORKDAY(AR_table!$C180,$J$1)</f>
        <v>45748</v>
      </c>
      <c r="E180" s="15">
        <v>3336.12</v>
      </c>
      <c r="F180" s="10">
        <f ca="1">IF(AR_table!$D180&gt;=TODAY(),0,NETWORKDAYS(AR_table!$D180,TODAY()))</f>
        <v>227</v>
      </c>
      <c r="G180" s="10" t="str">
        <f ca="1">VLOOKUP(AR_table!$F180,aging_bucket[#All],2)</f>
        <v>&gt;90</v>
      </c>
    </row>
    <row r="181" spans="1:7" x14ac:dyDescent="0.3">
      <c r="A181" s="25" t="s">
        <v>169</v>
      </c>
      <c r="B181" s="13" t="s">
        <v>591</v>
      </c>
      <c r="C181" s="26">
        <v>45912</v>
      </c>
      <c r="D181" s="26">
        <f>WORKDAY(AR_table!$C181,$J$1)</f>
        <v>45954</v>
      </c>
      <c r="E181" s="27">
        <v>5108.9399999999996</v>
      </c>
      <c r="F181" s="10">
        <f ca="1">IF(AR_table!$D181&gt;=TODAY(),0,NETWORKDAYS(AR_table!$D181,TODAY()))</f>
        <v>79</v>
      </c>
      <c r="G181" s="13" t="str">
        <f ca="1">VLOOKUP(AR_table!$F181,aging_bucket[#All],2)</f>
        <v>61-90</v>
      </c>
    </row>
    <row r="182" spans="1:7" x14ac:dyDescent="0.3">
      <c r="A182" s="12" t="s">
        <v>170</v>
      </c>
      <c r="B182" s="10" t="s">
        <v>591</v>
      </c>
      <c r="C182" s="14">
        <v>45696</v>
      </c>
      <c r="D182" s="14">
        <f>WORKDAY(AR_table!$C182,$J$1)</f>
        <v>45737</v>
      </c>
      <c r="E182" s="15">
        <v>3254.83</v>
      </c>
      <c r="F182" s="10">
        <f ca="1">IF(AR_table!$D182&gt;=TODAY(),0,NETWORKDAYS(AR_table!$D182,TODAY()))</f>
        <v>234</v>
      </c>
      <c r="G182" s="10" t="str">
        <f ca="1">VLOOKUP(AR_table!$F182,aging_bucket[#All],2)</f>
        <v>&gt;90</v>
      </c>
    </row>
    <row r="183" spans="1:7" x14ac:dyDescent="0.3">
      <c r="A183" s="12" t="s">
        <v>172</v>
      </c>
      <c r="B183" s="10" t="s">
        <v>591</v>
      </c>
      <c r="C183" s="14">
        <v>46045</v>
      </c>
      <c r="D183" s="14">
        <f>WORKDAY(AR_table!$C183,$J$1)</f>
        <v>46087</v>
      </c>
      <c r="E183" s="15">
        <v>1049.32</v>
      </c>
      <c r="F183" s="10">
        <f ca="1">IF(AR_table!$D183&gt;=TODAY(),0,NETWORKDAYS(AR_table!$D183,TODAY()))</f>
        <v>0</v>
      </c>
      <c r="G183" s="10" t="str">
        <f ca="1">VLOOKUP(AR_table!$F183,aging_bucket[#All],2)</f>
        <v>Not due</v>
      </c>
    </row>
    <row r="184" spans="1:7" x14ac:dyDescent="0.3">
      <c r="A184" s="12" t="s">
        <v>174</v>
      </c>
      <c r="B184" s="10" t="s">
        <v>595</v>
      </c>
      <c r="C184" s="14">
        <v>46014</v>
      </c>
      <c r="D184" s="14">
        <f>WORKDAY(AR_table!$C184,$J$1)</f>
        <v>46056</v>
      </c>
      <c r="E184" s="15">
        <v>7185.54</v>
      </c>
      <c r="F184" s="10">
        <f ca="1">IF(AR_table!$D184&gt;=TODAY(),0,NETWORKDAYS(AR_table!$D184,TODAY()))</f>
        <v>7</v>
      </c>
      <c r="G184" s="10" t="str">
        <f ca="1">VLOOKUP(AR_table!$F184,aging_bucket[#All],2)</f>
        <v>1-30</v>
      </c>
    </row>
    <row r="185" spans="1:7" x14ac:dyDescent="0.3">
      <c r="A185" s="25" t="s">
        <v>175</v>
      </c>
      <c r="B185" s="13" t="s">
        <v>595</v>
      </c>
      <c r="C185" s="26">
        <v>45704</v>
      </c>
      <c r="D185" s="26">
        <f>WORKDAY(AR_table!$C185,$J$1)</f>
        <v>45744</v>
      </c>
      <c r="E185" s="27">
        <v>1472.13</v>
      </c>
      <c r="F185" s="10">
        <f ca="1">IF(AR_table!$D185&gt;=TODAY(),0,NETWORKDAYS(AR_table!$D185,TODAY()))</f>
        <v>229</v>
      </c>
      <c r="G185" s="13" t="str">
        <f ca="1">VLOOKUP(AR_table!$F185,aging_bucket[#All],2)</f>
        <v>&gt;90</v>
      </c>
    </row>
    <row r="186" spans="1:7" x14ac:dyDescent="0.3">
      <c r="A186" s="12" t="s">
        <v>176</v>
      </c>
      <c r="B186" s="10" t="s">
        <v>594</v>
      </c>
      <c r="C186" s="14">
        <v>45775</v>
      </c>
      <c r="D186" s="14">
        <f>WORKDAY(AR_table!$C186,$J$1)</f>
        <v>45817</v>
      </c>
      <c r="E186" s="15">
        <v>5363.52</v>
      </c>
      <c r="F186" s="10">
        <f ca="1">IF(AR_table!$D186&gt;=TODAY(),0,NETWORKDAYS(AR_table!$D186,TODAY()))</f>
        <v>178</v>
      </c>
      <c r="G186" s="10" t="str">
        <f ca="1">VLOOKUP(AR_table!$F186,aging_bucket[#All],2)</f>
        <v>&gt;90</v>
      </c>
    </row>
    <row r="187" spans="1:7" x14ac:dyDescent="0.3">
      <c r="A187" s="25" t="s">
        <v>177</v>
      </c>
      <c r="B187" s="13" t="s">
        <v>592</v>
      </c>
      <c r="C187" s="26">
        <v>45996</v>
      </c>
      <c r="D187" s="26">
        <f>WORKDAY(AR_table!$C187,$J$1)</f>
        <v>46038</v>
      </c>
      <c r="E187" s="27">
        <v>3298.99</v>
      </c>
      <c r="F187" s="10">
        <f ca="1">IF(AR_table!$D187&gt;=TODAY(),0,NETWORKDAYS(AR_table!$D187,TODAY()))</f>
        <v>19</v>
      </c>
      <c r="G187" s="13" t="str">
        <f ca="1">VLOOKUP(AR_table!$F187,aging_bucket[#All],2)</f>
        <v>1-30</v>
      </c>
    </row>
    <row r="188" spans="1:7" x14ac:dyDescent="0.3">
      <c r="A188" s="12" t="s">
        <v>178</v>
      </c>
      <c r="B188" s="10" t="s">
        <v>591</v>
      </c>
      <c r="C188" s="14">
        <v>46196</v>
      </c>
      <c r="D188" s="14">
        <f>WORKDAY(AR_table!$C188,$J$1)</f>
        <v>46238</v>
      </c>
      <c r="E188" s="15">
        <v>7176.07</v>
      </c>
      <c r="F188" s="10">
        <f ca="1">IF(AR_table!$D188&gt;=TODAY(),0,NETWORKDAYS(AR_table!$D188,TODAY()))</f>
        <v>0</v>
      </c>
      <c r="G188" s="10" t="str">
        <f ca="1">VLOOKUP(AR_table!$F188,aging_bucket[#All],2)</f>
        <v>Not due</v>
      </c>
    </row>
    <row r="189" spans="1:7" x14ac:dyDescent="0.3">
      <c r="A189" s="25" t="s">
        <v>179</v>
      </c>
      <c r="B189" s="13" t="s">
        <v>592</v>
      </c>
      <c r="C189" s="26">
        <v>46002</v>
      </c>
      <c r="D189" s="26">
        <f>WORKDAY(AR_table!$C189,$J$1)</f>
        <v>46044</v>
      </c>
      <c r="E189" s="27">
        <v>618.77</v>
      </c>
      <c r="F189" s="10">
        <f ca="1">IF(AR_table!$D189&gt;=TODAY(),0,NETWORKDAYS(AR_table!$D189,TODAY()))</f>
        <v>15</v>
      </c>
      <c r="G189" s="13" t="str">
        <f ca="1">VLOOKUP(AR_table!$F189,aging_bucket[#All],2)</f>
        <v>1-30</v>
      </c>
    </row>
    <row r="190" spans="1:7" x14ac:dyDescent="0.3">
      <c r="A190" s="12" t="s">
        <v>180</v>
      </c>
      <c r="B190" s="10" t="s">
        <v>595</v>
      </c>
      <c r="C190" s="14">
        <v>45953</v>
      </c>
      <c r="D190" s="14">
        <f>WORKDAY(AR_table!$C190,$J$1)</f>
        <v>45995</v>
      </c>
      <c r="E190" s="15">
        <v>3945.49</v>
      </c>
      <c r="F190" s="10">
        <f ca="1">IF(AR_table!$D190&gt;=TODAY(),0,NETWORKDAYS(AR_table!$D190,TODAY()))</f>
        <v>50</v>
      </c>
      <c r="G190" s="10" t="str">
        <f ca="1">VLOOKUP(AR_table!$F190,aging_bucket[#All],2)</f>
        <v>31-60</v>
      </c>
    </row>
    <row r="191" spans="1:7" x14ac:dyDescent="0.3">
      <c r="A191" s="25" t="s">
        <v>181</v>
      </c>
      <c r="B191" s="13" t="s">
        <v>592</v>
      </c>
      <c r="C191" s="26">
        <v>45678</v>
      </c>
      <c r="D191" s="26">
        <f>WORKDAY(AR_table!$C191,$J$1)</f>
        <v>45720</v>
      </c>
      <c r="E191" s="27">
        <v>1912.05</v>
      </c>
      <c r="F191" s="10">
        <f ca="1">IF(AR_table!$D191&gt;=TODAY(),0,NETWORKDAYS(AR_table!$D191,TODAY()))</f>
        <v>247</v>
      </c>
      <c r="G191" s="13" t="str">
        <f ca="1">VLOOKUP(AR_table!$F191,aging_bucket[#All],2)</f>
        <v>&gt;90</v>
      </c>
    </row>
    <row r="192" spans="1:7" x14ac:dyDescent="0.3">
      <c r="A192" s="12" t="s">
        <v>182</v>
      </c>
      <c r="B192" s="10" t="s">
        <v>591</v>
      </c>
      <c r="C192" s="14">
        <v>45980</v>
      </c>
      <c r="D192" s="14">
        <f>WORKDAY(AR_table!$C192,$J$1)</f>
        <v>46022</v>
      </c>
      <c r="E192" s="15">
        <v>5329.48</v>
      </c>
      <c r="F192" s="10">
        <f ca="1">IF(AR_table!$D192&gt;=TODAY(),0,NETWORKDAYS(AR_table!$D192,TODAY()))</f>
        <v>31</v>
      </c>
      <c r="G192" s="10" t="str">
        <f ca="1">VLOOKUP(AR_table!$F192,aging_bucket[#All],2)</f>
        <v>31-60</v>
      </c>
    </row>
    <row r="193" spans="1:7" x14ac:dyDescent="0.3">
      <c r="A193" s="25" t="s">
        <v>183</v>
      </c>
      <c r="B193" s="13" t="s">
        <v>591</v>
      </c>
      <c r="C193" s="26">
        <v>45828</v>
      </c>
      <c r="D193" s="26">
        <f>WORKDAY(AR_table!$C193,$J$1)</f>
        <v>45870</v>
      </c>
      <c r="E193" s="27">
        <v>5287.6</v>
      </c>
      <c r="F193" s="10">
        <f ca="1">IF(AR_table!$D193&gt;=TODAY(),0,NETWORKDAYS(AR_table!$D193,TODAY()))</f>
        <v>139</v>
      </c>
      <c r="G193" s="13" t="str">
        <f ca="1">VLOOKUP(AR_table!$F193,aging_bucket[#All],2)</f>
        <v>&gt;90</v>
      </c>
    </row>
    <row r="194" spans="1:7" x14ac:dyDescent="0.3">
      <c r="A194" s="12" t="s">
        <v>184</v>
      </c>
      <c r="B194" s="10" t="s">
        <v>593</v>
      </c>
      <c r="C194" s="14">
        <v>45901</v>
      </c>
      <c r="D194" s="14">
        <f>WORKDAY(AR_table!$C194,$J$1)</f>
        <v>45943</v>
      </c>
      <c r="E194" s="15">
        <v>4912.0600000000004</v>
      </c>
      <c r="F194" s="10">
        <f ca="1">IF(AR_table!$D194&gt;=TODAY(),0,NETWORKDAYS(AR_table!$D194,TODAY()))</f>
        <v>88</v>
      </c>
      <c r="G194" s="10" t="str">
        <f ca="1">VLOOKUP(AR_table!$F194,aging_bucket[#All],2)</f>
        <v>61-90</v>
      </c>
    </row>
    <row r="195" spans="1:7" x14ac:dyDescent="0.3">
      <c r="A195" s="25" t="s">
        <v>185</v>
      </c>
      <c r="B195" s="13" t="s">
        <v>592</v>
      </c>
      <c r="C195" s="26">
        <v>46061</v>
      </c>
      <c r="D195" s="26">
        <f>WORKDAY(AR_table!$C195,$J$1)</f>
        <v>46101</v>
      </c>
      <c r="E195" s="27">
        <v>6804.92</v>
      </c>
      <c r="F195" s="10">
        <f ca="1">IF(AR_table!$D195&gt;=TODAY(),0,NETWORKDAYS(AR_table!$D195,TODAY()))</f>
        <v>0</v>
      </c>
      <c r="G195" s="13" t="str">
        <f ca="1">VLOOKUP(AR_table!$F195,aging_bucket[#All],2)</f>
        <v>Not due</v>
      </c>
    </row>
    <row r="196" spans="1:7" x14ac:dyDescent="0.3">
      <c r="A196" s="12" t="s">
        <v>186</v>
      </c>
      <c r="B196" s="10" t="s">
        <v>594</v>
      </c>
      <c r="C196" s="14">
        <v>45750</v>
      </c>
      <c r="D196" s="14">
        <f>WORKDAY(AR_table!$C196,$J$1)</f>
        <v>45792</v>
      </c>
      <c r="E196" s="15">
        <v>2819.2</v>
      </c>
      <c r="F196" s="10">
        <f ca="1">IF(AR_table!$D196&gt;=TODAY(),0,NETWORKDAYS(AR_table!$D196,TODAY()))</f>
        <v>195</v>
      </c>
      <c r="G196" s="10" t="str">
        <f ca="1">VLOOKUP(AR_table!$F196,aging_bucket[#All],2)</f>
        <v>&gt;90</v>
      </c>
    </row>
    <row r="197" spans="1:7" x14ac:dyDescent="0.3">
      <c r="A197" s="25" t="s">
        <v>187</v>
      </c>
      <c r="B197" s="13" t="s">
        <v>591</v>
      </c>
      <c r="C197" s="26">
        <v>45664</v>
      </c>
      <c r="D197" s="26">
        <f>WORKDAY(AR_table!$C197,$J$1)</f>
        <v>45706</v>
      </c>
      <c r="E197" s="27">
        <v>4818.12</v>
      </c>
      <c r="F197" s="10">
        <f ca="1">IF(AR_table!$D197&gt;=TODAY(),0,NETWORKDAYS(AR_table!$D197,TODAY()))</f>
        <v>257</v>
      </c>
      <c r="G197" s="13" t="str">
        <f ca="1">VLOOKUP(AR_table!$F197,aging_bucket[#All],2)</f>
        <v>&gt;90</v>
      </c>
    </row>
    <row r="198" spans="1:7" x14ac:dyDescent="0.3">
      <c r="A198" s="25" t="s">
        <v>188</v>
      </c>
      <c r="B198" s="13" t="s">
        <v>591</v>
      </c>
      <c r="C198" s="26">
        <v>45950</v>
      </c>
      <c r="D198" s="26">
        <f>WORKDAY(AR_table!$C198,$J$1)</f>
        <v>45992</v>
      </c>
      <c r="E198" s="27">
        <v>6215.27</v>
      </c>
      <c r="F198" s="10">
        <f ca="1">IF(AR_table!$D198&gt;=TODAY(),0,NETWORKDAYS(AR_table!$D198,TODAY()))</f>
        <v>53</v>
      </c>
      <c r="G198" s="13" t="str">
        <f ca="1">VLOOKUP(AR_table!$F198,aging_bucket[#All],2)</f>
        <v>31-60</v>
      </c>
    </row>
    <row r="199" spans="1:7" x14ac:dyDescent="0.3">
      <c r="A199" s="12" t="s">
        <v>189</v>
      </c>
      <c r="B199" s="10" t="s">
        <v>592</v>
      </c>
      <c r="C199" s="14">
        <v>46052</v>
      </c>
      <c r="D199" s="14">
        <f>WORKDAY(AR_table!$C199,$J$1)</f>
        <v>46094</v>
      </c>
      <c r="E199" s="15">
        <v>772.4</v>
      </c>
      <c r="F199" s="10">
        <f ca="1">IF(AR_table!$D199&gt;=TODAY(),0,NETWORKDAYS(AR_table!$D199,TODAY()))</f>
        <v>0</v>
      </c>
      <c r="G199" s="10" t="str">
        <f ca="1">VLOOKUP(AR_table!$F199,aging_bucket[#All],2)</f>
        <v>Not due</v>
      </c>
    </row>
    <row r="200" spans="1:7" x14ac:dyDescent="0.3">
      <c r="A200" s="12" t="s">
        <v>190</v>
      </c>
      <c r="B200" s="10" t="s">
        <v>592</v>
      </c>
      <c r="C200" s="14">
        <v>46163</v>
      </c>
      <c r="D200" s="14">
        <f>WORKDAY(AR_table!$C200,$J$1)</f>
        <v>46205</v>
      </c>
      <c r="E200" s="15">
        <v>844.47</v>
      </c>
      <c r="F200" s="10">
        <f ca="1">IF(AR_table!$D200&gt;=TODAY(),0,NETWORKDAYS(AR_table!$D200,TODAY()))</f>
        <v>0</v>
      </c>
      <c r="G200" s="10" t="str">
        <f ca="1">VLOOKUP(AR_table!$F200,aging_bucket[#All],2)</f>
        <v>Not due</v>
      </c>
    </row>
    <row r="201" spans="1:7" x14ac:dyDescent="0.3">
      <c r="A201" s="25" t="s">
        <v>191</v>
      </c>
      <c r="B201" s="13" t="s">
        <v>593</v>
      </c>
      <c r="C201" s="26">
        <v>45989</v>
      </c>
      <c r="D201" s="26">
        <f>WORKDAY(AR_table!$C201,$J$1)</f>
        <v>46031</v>
      </c>
      <c r="E201" s="27">
        <v>1392.54</v>
      </c>
      <c r="F201" s="10">
        <f ca="1">IF(AR_table!$D201&gt;=TODAY(),0,NETWORKDAYS(AR_table!$D201,TODAY()))</f>
        <v>24</v>
      </c>
      <c r="G201" s="13" t="str">
        <f ca="1">VLOOKUP(AR_table!$F201,aging_bucket[#All],2)</f>
        <v>1-30</v>
      </c>
    </row>
    <row r="202" spans="1:7" x14ac:dyDescent="0.3">
      <c r="A202" s="25" t="s">
        <v>192</v>
      </c>
      <c r="B202" s="13" t="s">
        <v>593</v>
      </c>
      <c r="C202" s="26">
        <v>45701</v>
      </c>
      <c r="D202" s="26">
        <f>WORKDAY(AR_table!$C202,$J$1)</f>
        <v>45743</v>
      </c>
      <c r="E202" s="27">
        <v>2944.07</v>
      </c>
      <c r="F202" s="10">
        <f ca="1">IF(AR_table!$D202&gt;=TODAY(),0,NETWORKDAYS(AR_table!$D202,TODAY()))</f>
        <v>230</v>
      </c>
      <c r="G202" s="13" t="str">
        <f ca="1">VLOOKUP(AR_table!$F202,aging_bucket[#All],2)</f>
        <v>&gt;90</v>
      </c>
    </row>
    <row r="203" spans="1:7" x14ac:dyDescent="0.3">
      <c r="A203" s="12" t="s">
        <v>193</v>
      </c>
      <c r="B203" s="10" t="s">
        <v>591</v>
      </c>
      <c r="C203" s="14">
        <v>45902</v>
      </c>
      <c r="D203" s="14">
        <f>WORKDAY(AR_table!$C203,$J$1)</f>
        <v>45944</v>
      </c>
      <c r="E203" s="15">
        <v>6013.51</v>
      </c>
      <c r="F203" s="10">
        <f ca="1">IF(AR_table!$D203&gt;=TODAY(),0,NETWORKDAYS(AR_table!$D203,TODAY()))</f>
        <v>87</v>
      </c>
      <c r="G203" s="10" t="str">
        <f ca="1">VLOOKUP(AR_table!$F203,aging_bucket[#All],2)</f>
        <v>61-90</v>
      </c>
    </row>
    <row r="204" spans="1:7" x14ac:dyDescent="0.3">
      <c r="A204" s="25" t="s">
        <v>194</v>
      </c>
      <c r="B204" s="13" t="s">
        <v>595</v>
      </c>
      <c r="C204" s="26">
        <v>45693</v>
      </c>
      <c r="D204" s="26">
        <f>WORKDAY(AR_table!$C204,$J$1)</f>
        <v>45735</v>
      </c>
      <c r="E204" s="27">
        <v>1766.81</v>
      </c>
      <c r="F204" s="10">
        <f ca="1">IF(AR_table!$D204&gt;=TODAY(),0,NETWORKDAYS(AR_table!$D204,TODAY()))</f>
        <v>236</v>
      </c>
      <c r="G204" s="13" t="str">
        <f ca="1">VLOOKUP(AR_table!$F204,aging_bucket[#All],2)</f>
        <v>&gt;90</v>
      </c>
    </row>
    <row r="205" spans="1:7" x14ac:dyDescent="0.3">
      <c r="A205" s="12" t="s">
        <v>195</v>
      </c>
      <c r="B205" s="10" t="s">
        <v>592</v>
      </c>
      <c r="C205" s="14">
        <v>46009</v>
      </c>
      <c r="D205" s="14">
        <f>WORKDAY(AR_table!$C205,$J$1)</f>
        <v>46051</v>
      </c>
      <c r="E205" s="15">
        <v>5288.72</v>
      </c>
      <c r="F205" s="10">
        <f ca="1">IF(AR_table!$D205&gt;=TODAY(),0,NETWORKDAYS(AR_table!$D205,TODAY()))</f>
        <v>10</v>
      </c>
      <c r="G205" s="10" t="str">
        <f ca="1">VLOOKUP(AR_table!$F205,aging_bucket[#All],2)</f>
        <v>1-30</v>
      </c>
    </row>
    <row r="206" spans="1:7" x14ac:dyDescent="0.3">
      <c r="A206" s="25" t="s">
        <v>196</v>
      </c>
      <c r="B206" s="13" t="s">
        <v>591</v>
      </c>
      <c r="C206" s="26">
        <v>45907</v>
      </c>
      <c r="D206" s="26">
        <f>WORKDAY(AR_table!$C206,$J$1)</f>
        <v>45947</v>
      </c>
      <c r="E206" s="27">
        <v>487.55</v>
      </c>
      <c r="F206" s="10">
        <f ca="1">IF(AR_table!$D206&gt;=TODAY(),0,NETWORKDAYS(AR_table!$D206,TODAY()))</f>
        <v>84</v>
      </c>
      <c r="G206" s="13" t="str">
        <f ca="1">VLOOKUP(AR_table!$F206,aging_bucket[#All],2)</f>
        <v>61-90</v>
      </c>
    </row>
    <row r="207" spans="1:7" x14ac:dyDescent="0.3">
      <c r="A207" s="12" t="s">
        <v>197</v>
      </c>
      <c r="B207" s="10" t="s">
        <v>591</v>
      </c>
      <c r="C207" s="14">
        <v>45975</v>
      </c>
      <c r="D207" s="14">
        <f>WORKDAY(AR_table!$C207,$J$1)</f>
        <v>46017</v>
      </c>
      <c r="E207" s="15">
        <v>1910.38</v>
      </c>
      <c r="F207" s="10">
        <f ca="1">IF(AR_table!$D207&gt;=TODAY(),0,NETWORKDAYS(AR_table!$D207,TODAY()))</f>
        <v>34</v>
      </c>
      <c r="G207" s="10" t="str">
        <f ca="1">VLOOKUP(AR_table!$F207,aging_bucket[#All],2)</f>
        <v>31-60</v>
      </c>
    </row>
    <row r="208" spans="1:7" x14ac:dyDescent="0.3">
      <c r="A208" s="12" t="s">
        <v>198</v>
      </c>
      <c r="B208" s="10" t="s">
        <v>595</v>
      </c>
      <c r="C208" s="14">
        <v>45881</v>
      </c>
      <c r="D208" s="14">
        <f>WORKDAY(AR_table!$C208,$J$1)</f>
        <v>45923</v>
      </c>
      <c r="E208" s="15">
        <v>6586.64</v>
      </c>
      <c r="F208" s="10">
        <f ca="1">IF(AR_table!$D208&gt;=TODAY(),0,NETWORKDAYS(AR_table!$D208,TODAY()))</f>
        <v>102</v>
      </c>
      <c r="G208" s="10" t="str">
        <f ca="1">VLOOKUP(AR_table!$F208,aging_bucket[#All],2)</f>
        <v>&gt;90</v>
      </c>
    </row>
    <row r="209" spans="1:7" x14ac:dyDescent="0.3">
      <c r="A209" s="12" t="s">
        <v>199</v>
      </c>
      <c r="B209" s="10" t="s">
        <v>594</v>
      </c>
      <c r="C209" s="14">
        <v>45704</v>
      </c>
      <c r="D209" s="14">
        <f>WORKDAY(AR_table!$C209,$J$1)</f>
        <v>45744</v>
      </c>
      <c r="E209" s="15">
        <v>1308.93</v>
      </c>
      <c r="F209" s="10">
        <f ca="1">IF(AR_table!$D209&gt;=TODAY(),0,NETWORKDAYS(AR_table!$D209,TODAY()))</f>
        <v>229</v>
      </c>
      <c r="G209" s="10" t="str">
        <f ca="1">VLOOKUP(AR_table!$F209,aging_bucket[#All],2)</f>
        <v>&gt;90</v>
      </c>
    </row>
    <row r="210" spans="1:7" x14ac:dyDescent="0.3">
      <c r="A210" s="25" t="s">
        <v>200</v>
      </c>
      <c r="B210" s="13" t="s">
        <v>593</v>
      </c>
      <c r="C210" s="26">
        <v>46146</v>
      </c>
      <c r="D210" s="26">
        <f>WORKDAY(AR_table!$C210,$J$1)</f>
        <v>46188</v>
      </c>
      <c r="E210" s="27">
        <v>3082.75</v>
      </c>
      <c r="F210" s="10">
        <f ca="1">IF(AR_table!$D210&gt;=TODAY(),0,NETWORKDAYS(AR_table!$D210,TODAY()))</f>
        <v>0</v>
      </c>
      <c r="G210" s="13" t="str">
        <f ca="1">VLOOKUP(AR_table!$F210,aging_bucket[#All],2)</f>
        <v>Not due</v>
      </c>
    </row>
    <row r="211" spans="1:7" x14ac:dyDescent="0.3">
      <c r="A211" s="25" t="s">
        <v>201</v>
      </c>
      <c r="B211" s="13" t="s">
        <v>591</v>
      </c>
      <c r="C211" s="26">
        <v>46186</v>
      </c>
      <c r="D211" s="26">
        <f>WORKDAY(AR_table!$C211,$J$1)</f>
        <v>46227</v>
      </c>
      <c r="E211" s="27">
        <v>612.58000000000004</v>
      </c>
      <c r="F211" s="10">
        <f ca="1">IF(AR_table!$D211&gt;=TODAY(),0,NETWORKDAYS(AR_table!$D211,TODAY()))</f>
        <v>0</v>
      </c>
      <c r="G211" s="13" t="str">
        <f ca="1">VLOOKUP(AR_table!$F211,aging_bucket[#All],2)</f>
        <v>Not due</v>
      </c>
    </row>
    <row r="212" spans="1:7" x14ac:dyDescent="0.3">
      <c r="A212" s="12" t="s">
        <v>202</v>
      </c>
      <c r="B212" s="10" t="s">
        <v>594</v>
      </c>
      <c r="C212" s="14">
        <v>46011</v>
      </c>
      <c r="D212" s="14">
        <f>WORKDAY(AR_table!$C212,$J$1)</f>
        <v>46052</v>
      </c>
      <c r="E212" s="15">
        <v>6586.08</v>
      </c>
      <c r="F212" s="10">
        <f ca="1">IF(AR_table!$D212&gt;=TODAY(),0,NETWORKDAYS(AR_table!$D212,TODAY()))</f>
        <v>9</v>
      </c>
      <c r="G212" s="10" t="str">
        <f ca="1">VLOOKUP(AR_table!$F212,aging_bucket[#All],2)</f>
        <v>1-30</v>
      </c>
    </row>
    <row r="213" spans="1:7" x14ac:dyDescent="0.3">
      <c r="A213" s="25" t="s">
        <v>203</v>
      </c>
      <c r="B213" s="13" t="s">
        <v>592</v>
      </c>
      <c r="C213" s="26">
        <v>45943</v>
      </c>
      <c r="D213" s="26">
        <f>WORKDAY(AR_table!$C213,$J$1)</f>
        <v>45985</v>
      </c>
      <c r="E213" s="27">
        <v>7135.58</v>
      </c>
      <c r="F213" s="10">
        <f ca="1">IF(AR_table!$D213&gt;=TODAY(),0,NETWORKDAYS(AR_table!$D213,TODAY()))</f>
        <v>58</v>
      </c>
      <c r="G213" s="13" t="str">
        <f ca="1">VLOOKUP(AR_table!$F213,aging_bucket[#All],2)</f>
        <v>31-60</v>
      </c>
    </row>
    <row r="214" spans="1:7" x14ac:dyDescent="0.3">
      <c r="A214" s="12" t="s">
        <v>204</v>
      </c>
      <c r="B214" s="10" t="s">
        <v>594</v>
      </c>
      <c r="C214" s="14">
        <v>45976</v>
      </c>
      <c r="D214" s="14">
        <f>WORKDAY(AR_table!$C214,$J$1)</f>
        <v>46017</v>
      </c>
      <c r="E214" s="15">
        <v>3310.59</v>
      </c>
      <c r="F214" s="10">
        <f ca="1">IF(AR_table!$D214&gt;=TODAY(),0,NETWORKDAYS(AR_table!$D214,TODAY()))</f>
        <v>34</v>
      </c>
      <c r="G214" s="10" t="str">
        <f ca="1">VLOOKUP(AR_table!$F214,aging_bucket[#All],2)</f>
        <v>31-60</v>
      </c>
    </row>
    <row r="215" spans="1:7" x14ac:dyDescent="0.3">
      <c r="A215" s="25" t="s">
        <v>205</v>
      </c>
      <c r="B215" s="13" t="s">
        <v>595</v>
      </c>
      <c r="C215" s="26">
        <v>46178</v>
      </c>
      <c r="D215" s="26">
        <f>WORKDAY(AR_table!$C215,$J$1)</f>
        <v>46220</v>
      </c>
      <c r="E215" s="27">
        <v>6859.56</v>
      </c>
      <c r="F215" s="10">
        <f ca="1">IF(AR_table!$D215&gt;=TODAY(),0,NETWORKDAYS(AR_table!$D215,TODAY()))</f>
        <v>0</v>
      </c>
      <c r="G215" s="13" t="str">
        <f ca="1">VLOOKUP(AR_table!$F215,aging_bucket[#All],2)</f>
        <v>Not due</v>
      </c>
    </row>
    <row r="216" spans="1:7" x14ac:dyDescent="0.3">
      <c r="A216" s="12" t="s">
        <v>206</v>
      </c>
      <c r="B216" s="10" t="s">
        <v>594</v>
      </c>
      <c r="C216" s="14">
        <v>46086</v>
      </c>
      <c r="D216" s="14">
        <f>WORKDAY(AR_table!$C216,$J$1)</f>
        <v>46128</v>
      </c>
      <c r="E216" s="15">
        <v>3464.1</v>
      </c>
      <c r="F216" s="10">
        <f ca="1">IF(AR_table!$D216&gt;=TODAY(),0,NETWORKDAYS(AR_table!$D216,TODAY()))</f>
        <v>0</v>
      </c>
      <c r="G216" s="10" t="str">
        <f ca="1">VLOOKUP(AR_table!$F216,aging_bucket[#All],2)</f>
        <v>Not due</v>
      </c>
    </row>
    <row r="217" spans="1:7" x14ac:dyDescent="0.3">
      <c r="A217" s="12" t="s">
        <v>207</v>
      </c>
      <c r="B217" s="10" t="s">
        <v>592</v>
      </c>
      <c r="C217" s="14">
        <v>45961</v>
      </c>
      <c r="D217" s="14">
        <f>WORKDAY(AR_table!$C217,$J$1)</f>
        <v>46003</v>
      </c>
      <c r="E217" s="15">
        <v>375.36</v>
      </c>
      <c r="F217" s="10">
        <f ca="1">IF(AR_table!$D217&gt;=TODAY(),0,NETWORKDAYS(AR_table!$D217,TODAY()))</f>
        <v>44</v>
      </c>
      <c r="G217" s="10" t="str">
        <f ca="1">VLOOKUP(AR_table!$F217,aging_bucket[#All],2)</f>
        <v>31-60</v>
      </c>
    </row>
    <row r="218" spans="1:7" x14ac:dyDescent="0.3">
      <c r="A218" s="25" t="s">
        <v>208</v>
      </c>
      <c r="B218" s="13" t="s">
        <v>591</v>
      </c>
      <c r="C218" s="26">
        <v>45982</v>
      </c>
      <c r="D218" s="26">
        <f>WORKDAY(AR_table!$C218,$J$1)</f>
        <v>46024</v>
      </c>
      <c r="E218" s="27">
        <v>4606.43</v>
      </c>
      <c r="F218" s="10">
        <f ca="1">IF(AR_table!$D218&gt;=TODAY(),0,NETWORKDAYS(AR_table!$D218,TODAY()))</f>
        <v>29</v>
      </c>
      <c r="G218" s="13" t="str">
        <f ca="1">VLOOKUP(AR_table!$F218,aging_bucket[#All],2)</f>
        <v>1-30</v>
      </c>
    </row>
    <row r="219" spans="1:7" x14ac:dyDescent="0.3">
      <c r="A219" s="12" t="s">
        <v>209</v>
      </c>
      <c r="B219" s="10" t="s">
        <v>591</v>
      </c>
      <c r="C219" s="14">
        <v>45709</v>
      </c>
      <c r="D219" s="14">
        <f>WORKDAY(AR_table!$C219,$J$1)</f>
        <v>45751</v>
      </c>
      <c r="E219" s="15">
        <v>3956.63</v>
      </c>
      <c r="F219" s="10">
        <f ca="1">IF(AR_table!$D219&gt;=TODAY(),0,NETWORKDAYS(AR_table!$D219,TODAY()))</f>
        <v>224</v>
      </c>
      <c r="G219" s="10" t="str">
        <f ca="1">VLOOKUP(AR_table!$F219,aging_bucket[#All],2)</f>
        <v>&gt;90</v>
      </c>
    </row>
    <row r="220" spans="1:7" x14ac:dyDescent="0.3">
      <c r="A220" s="12" t="s">
        <v>210</v>
      </c>
      <c r="B220" s="10" t="s">
        <v>593</v>
      </c>
      <c r="C220" s="14">
        <v>45963</v>
      </c>
      <c r="D220" s="14">
        <f>WORKDAY(AR_table!$C220,$J$1)</f>
        <v>46003</v>
      </c>
      <c r="E220" s="15">
        <v>3131.18</v>
      </c>
      <c r="F220" s="10">
        <f ca="1">IF(AR_table!$D220&gt;=TODAY(),0,NETWORKDAYS(AR_table!$D220,TODAY()))</f>
        <v>44</v>
      </c>
      <c r="G220" s="10" t="str">
        <f ca="1">VLOOKUP(AR_table!$F220,aging_bucket[#All],2)</f>
        <v>31-60</v>
      </c>
    </row>
    <row r="221" spans="1:7" x14ac:dyDescent="0.3">
      <c r="A221" s="25" t="s">
        <v>211</v>
      </c>
      <c r="B221" s="13" t="s">
        <v>593</v>
      </c>
      <c r="C221" s="26">
        <v>45710</v>
      </c>
      <c r="D221" s="26">
        <f>WORKDAY(AR_table!$C221,$J$1)</f>
        <v>45751</v>
      </c>
      <c r="E221" s="27">
        <v>7443.46</v>
      </c>
      <c r="F221" s="10">
        <f ca="1">IF(AR_table!$D221&gt;=TODAY(),0,NETWORKDAYS(AR_table!$D221,TODAY()))</f>
        <v>224</v>
      </c>
      <c r="G221" s="13" t="str">
        <f ca="1">VLOOKUP(AR_table!$F221,aging_bucket[#All],2)</f>
        <v>&gt;90</v>
      </c>
    </row>
    <row r="222" spans="1:7" x14ac:dyDescent="0.3">
      <c r="A222" s="12" t="s">
        <v>212</v>
      </c>
      <c r="B222" s="10" t="s">
        <v>594</v>
      </c>
      <c r="C222" s="14">
        <v>45688</v>
      </c>
      <c r="D222" s="14">
        <f>WORKDAY(AR_table!$C222,$J$1)</f>
        <v>45730</v>
      </c>
      <c r="E222" s="15">
        <v>3523.63</v>
      </c>
      <c r="F222" s="10">
        <f ca="1">IF(AR_table!$D222&gt;=TODAY(),0,NETWORKDAYS(AR_table!$D222,TODAY()))</f>
        <v>239</v>
      </c>
      <c r="G222" s="10" t="str">
        <f ca="1">VLOOKUP(AR_table!$F222,aging_bucket[#All],2)</f>
        <v>&gt;90</v>
      </c>
    </row>
    <row r="223" spans="1:7" x14ac:dyDescent="0.3">
      <c r="A223" s="25" t="s">
        <v>213</v>
      </c>
      <c r="B223" s="13" t="s">
        <v>592</v>
      </c>
      <c r="C223" s="26">
        <v>45681</v>
      </c>
      <c r="D223" s="26">
        <f>WORKDAY(AR_table!$C223,$J$1)</f>
        <v>45723</v>
      </c>
      <c r="E223" s="27">
        <v>255.41</v>
      </c>
      <c r="F223" s="10">
        <f ca="1">IF(AR_table!$D223&gt;=TODAY(),0,NETWORKDAYS(AR_table!$D223,TODAY()))</f>
        <v>244</v>
      </c>
      <c r="G223" s="13" t="str">
        <f ca="1">VLOOKUP(AR_table!$F223,aging_bucket[#All],2)</f>
        <v>&gt;90</v>
      </c>
    </row>
    <row r="224" spans="1:7" x14ac:dyDescent="0.3">
      <c r="A224" s="12" t="s">
        <v>214</v>
      </c>
      <c r="B224" s="10" t="s">
        <v>593</v>
      </c>
      <c r="C224" s="14">
        <v>46022</v>
      </c>
      <c r="D224" s="14">
        <f>WORKDAY(AR_table!$C224,$J$1)</f>
        <v>46064</v>
      </c>
      <c r="E224" s="15">
        <v>1759.2</v>
      </c>
      <c r="F224" s="10">
        <f ca="1">IF(AR_table!$D224&gt;=TODAY(),0,NETWORKDAYS(AR_table!$D224,TODAY()))</f>
        <v>0</v>
      </c>
      <c r="G224" s="10" t="str">
        <f ca="1">VLOOKUP(AR_table!$F224,aging_bucket[#All],2)</f>
        <v>Not due</v>
      </c>
    </row>
    <row r="225" spans="1:7" x14ac:dyDescent="0.3">
      <c r="A225" s="25" t="s">
        <v>215</v>
      </c>
      <c r="B225" s="13" t="s">
        <v>595</v>
      </c>
      <c r="C225" s="26">
        <v>46008</v>
      </c>
      <c r="D225" s="26">
        <f>WORKDAY(AR_table!$C225,$J$1)</f>
        <v>46050</v>
      </c>
      <c r="E225" s="27">
        <v>7446.1</v>
      </c>
      <c r="F225" s="10">
        <f ca="1">IF(AR_table!$D225&gt;=TODAY(),0,NETWORKDAYS(AR_table!$D225,TODAY()))</f>
        <v>11</v>
      </c>
      <c r="G225" s="13" t="str">
        <f ca="1">VLOOKUP(AR_table!$F225,aging_bucket[#All],2)</f>
        <v>1-30</v>
      </c>
    </row>
    <row r="226" spans="1:7" x14ac:dyDescent="0.3">
      <c r="A226" s="12" t="s">
        <v>216</v>
      </c>
      <c r="B226" s="10" t="s">
        <v>591</v>
      </c>
      <c r="C226" s="14">
        <v>46010</v>
      </c>
      <c r="D226" s="14">
        <f>WORKDAY(AR_table!$C226,$J$1)</f>
        <v>46052</v>
      </c>
      <c r="E226" s="15">
        <v>5244.86</v>
      </c>
      <c r="F226" s="10">
        <f ca="1">IF(AR_table!$D226&gt;=TODAY(),0,NETWORKDAYS(AR_table!$D226,TODAY()))</f>
        <v>9</v>
      </c>
      <c r="G226" s="10" t="str">
        <f ca="1">VLOOKUP(AR_table!$F226,aging_bucket[#All],2)</f>
        <v>1-30</v>
      </c>
    </row>
    <row r="227" spans="1:7" x14ac:dyDescent="0.3">
      <c r="A227" s="25" t="s">
        <v>217</v>
      </c>
      <c r="B227" s="13" t="s">
        <v>591</v>
      </c>
      <c r="C227" s="26">
        <v>45712</v>
      </c>
      <c r="D227" s="26">
        <f>WORKDAY(AR_table!$C227,$J$1)</f>
        <v>45754</v>
      </c>
      <c r="E227" s="27">
        <v>7281.91</v>
      </c>
      <c r="F227" s="10">
        <f ca="1">IF(AR_table!$D227&gt;=TODAY(),0,NETWORKDAYS(AR_table!$D227,TODAY()))</f>
        <v>223</v>
      </c>
      <c r="G227" s="13" t="str">
        <f ca="1">VLOOKUP(AR_table!$F227,aging_bucket[#All],2)</f>
        <v>&gt;90</v>
      </c>
    </row>
    <row r="228" spans="1:7" x14ac:dyDescent="0.3">
      <c r="A228" s="12" t="s">
        <v>218</v>
      </c>
      <c r="B228" s="10" t="s">
        <v>593</v>
      </c>
      <c r="C228" s="14">
        <v>45783</v>
      </c>
      <c r="D228" s="14">
        <f>WORKDAY(AR_table!$C228,$J$1)</f>
        <v>45825</v>
      </c>
      <c r="E228" s="15">
        <v>1209.49</v>
      </c>
      <c r="F228" s="10">
        <f ca="1">IF(AR_table!$D228&gt;=TODAY(),0,NETWORKDAYS(AR_table!$D228,TODAY()))</f>
        <v>172</v>
      </c>
      <c r="G228" s="10" t="str">
        <f ca="1">VLOOKUP(AR_table!$F228,aging_bucket[#All],2)</f>
        <v>&gt;90</v>
      </c>
    </row>
    <row r="229" spans="1:7" x14ac:dyDescent="0.3">
      <c r="A229" s="25" t="s">
        <v>219</v>
      </c>
      <c r="B229" s="13" t="s">
        <v>591</v>
      </c>
      <c r="C229" s="26">
        <v>45953</v>
      </c>
      <c r="D229" s="26">
        <f>WORKDAY(AR_table!$C229,$J$1)</f>
        <v>45995</v>
      </c>
      <c r="E229" s="27">
        <v>6584.61</v>
      </c>
      <c r="F229" s="10">
        <f ca="1">IF(AR_table!$D229&gt;=TODAY(),0,NETWORKDAYS(AR_table!$D229,TODAY()))</f>
        <v>50</v>
      </c>
      <c r="G229" s="13" t="str">
        <f ca="1">VLOOKUP(AR_table!$F229,aging_bucket[#All],2)</f>
        <v>31-60</v>
      </c>
    </row>
    <row r="230" spans="1:7" x14ac:dyDescent="0.3">
      <c r="A230" s="12" t="s">
        <v>220</v>
      </c>
      <c r="B230" s="10" t="s">
        <v>592</v>
      </c>
      <c r="C230" s="14">
        <v>45687</v>
      </c>
      <c r="D230" s="14">
        <f>WORKDAY(AR_table!$C230,$J$1)</f>
        <v>45729</v>
      </c>
      <c r="E230" s="15">
        <v>4282.2299999999996</v>
      </c>
      <c r="F230" s="10">
        <f ca="1">IF(AR_table!$D230&gt;=TODAY(),0,NETWORKDAYS(AR_table!$D230,TODAY()))</f>
        <v>240</v>
      </c>
      <c r="G230" s="10" t="str">
        <f ca="1">VLOOKUP(AR_table!$F230,aging_bucket[#All],2)</f>
        <v>&gt;90</v>
      </c>
    </row>
    <row r="231" spans="1:7" x14ac:dyDescent="0.3">
      <c r="A231" s="25" t="s">
        <v>221</v>
      </c>
      <c r="B231" s="13" t="s">
        <v>591</v>
      </c>
      <c r="C231" s="26">
        <v>46188</v>
      </c>
      <c r="D231" s="26">
        <f>WORKDAY(AR_table!$C231,$J$1)</f>
        <v>46230</v>
      </c>
      <c r="E231" s="27">
        <v>443.26</v>
      </c>
      <c r="F231" s="10">
        <f ca="1">IF(AR_table!$D231&gt;=TODAY(),0,NETWORKDAYS(AR_table!$D231,TODAY()))</f>
        <v>0</v>
      </c>
      <c r="G231" s="13" t="str">
        <f ca="1">VLOOKUP(AR_table!$F231,aging_bucket[#All],2)</f>
        <v>Not due</v>
      </c>
    </row>
    <row r="232" spans="1:7" x14ac:dyDescent="0.3">
      <c r="A232" s="12" t="s">
        <v>222</v>
      </c>
      <c r="B232" s="10" t="s">
        <v>591</v>
      </c>
      <c r="C232" s="14">
        <v>45817</v>
      </c>
      <c r="D232" s="14">
        <f>WORKDAY(AR_table!$C232,$J$1)</f>
        <v>45859</v>
      </c>
      <c r="E232" s="15">
        <v>6477.19</v>
      </c>
      <c r="F232" s="10">
        <f ca="1">IF(AR_table!$D232&gt;=TODAY(),0,NETWORKDAYS(AR_table!$D232,TODAY()))</f>
        <v>148</v>
      </c>
      <c r="G232" s="10" t="str">
        <f ca="1">VLOOKUP(AR_table!$F232,aging_bucket[#All],2)</f>
        <v>&gt;90</v>
      </c>
    </row>
    <row r="233" spans="1:7" x14ac:dyDescent="0.3">
      <c r="A233" s="25" t="s">
        <v>223</v>
      </c>
      <c r="B233" s="13" t="s">
        <v>595</v>
      </c>
      <c r="C233" s="26">
        <v>45738</v>
      </c>
      <c r="D233" s="26">
        <f>WORKDAY(AR_table!$C233,$J$1)</f>
        <v>45779</v>
      </c>
      <c r="E233" s="27">
        <v>2160.27</v>
      </c>
      <c r="F233" s="10">
        <f ca="1">IF(AR_table!$D233&gt;=TODAY(),0,NETWORKDAYS(AR_table!$D233,TODAY()))</f>
        <v>204</v>
      </c>
      <c r="G233" s="13" t="str">
        <f ca="1">VLOOKUP(AR_table!$F233,aging_bucket[#All],2)</f>
        <v>&gt;90</v>
      </c>
    </row>
    <row r="234" spans="1:7" x14ac:dyDescent="0.3">
      <c r="A234" s="25" t="s">
        <v>224</v>
      </c>
      <c r="B234" s="13" t="s">
        <v>593</v>
      </c>
      <c r="C234" s="26">
        <v>45897</v>
      </c>
      <c r="D234" s="26">
        <f>WORKDAY(AR_table!$C234,$J$1)</f>
        <v>45939</v>
      </c>
      <c r="E234" s="27">
        <v>2252.3000000000002</v>
      </c>
      <c r="F234" s="10">
        <f ca="1">IF(AR_table!$D234&gt;=TODAY(),0,NETWORKDAYS(AR_table!$D234,TODAY()))</f>
        <v>90</v>
      </c>
      <c r="G234" s="13" t="str">
        <f ca="1">VLOOKUP(AR_table!$F234,aging_bucket[#All],2)</f>
        <v>61-90</v>
      </c>
    </row>
    <row r="235" spans="1:7" x14ac:dyDescent="0.3">
      <c r="A235" s="12" t="s">
        <v>225</v>
      </c>
      <c r="B235" s="10" t="s">
        <v>593</v>
      </c>
      <c r="C235" s="14">
        <v>45926</v>
      </c>
      <c r="D235" s="14">
        <f>WORKDAY(AR_table!$C235,$J$1)</f>
        <v>45968</v>
      </c>
      <c r="E235" s="15">
        <v>235.01</v>
      </c>
      <c r="F235" s="10">
        <f ca="1">IF(AR_table!$D235&gt;=TODAY(),0,NETWORKDAYS(AR_table!$D235,TODAY()))</f>
        <v>69</v>
      </c>
      <c r="G235" s="10" t="str">
        <f ca="1">VLOOKUP(AR_table!$F235,aging_bucket[#All],2)</f>
        <v>61-90</v>
      </c>
    </row>
    <row r="236" spans="1:7" x14ac:dyDescent="0.3">
      <c r="A236" s="25" t="s">
        <v>226</v>
      </c>
      <c r="B236" s="13" t="s">
        <v>594</v>
      </c>
      <c r="C236" s="26">
        <v>45720</v>
      </c>
      <c r="D236" s="26">
        <f>WORKDAY(AR_table!$C236,$J$1)</f>
        <v>45762</v>
      </c>
      <c r="E236" s="27">
        <v>3315.73</v>
      </c>
      <c r="F236" s="10">
        <f ca="1">IF(AR_table!$D236&gt;=TODAY(),0,NETWORKDAYS(AR_table!$D236,TODAY()))</f>
        <v>217</v>
      </c>
      <c r="G236" s="13" t="str">
        <f ca="1">VLOOKUP(AR_table!$F236,aging_bucket[#All],2)</f>
        <v>&gt;90</v>
      </c>
    </row>
    <row r="237" spans="1:7" x14ac:dyDescent="0.3">
      <c r="A237" s="12" t="s">
        <v>227</v>
      </c>
      <c r="B237" s="10" t="s">
        <v>593</v>
      </c>
      <c r="C237" s="14">
        <v>45970</v>
      </c>
      <c r="D237" s="14">
        <f>WORKDAY(AR_table!$C237,$J$1)</f>
        <v>46010</v>
      </c>
      <c r="E237" s="15">
        <v>6472.22</v>
      </c>
      <c r="F237" s="10">
        <f ca="1">IF(AR_table!$D237&gt;=TODAY(),0,NETWORKDAYS(AR_table!$D237,TODAY()))</f>
        <v>39</v>
      </c>
      <c r="G237" s="10" t="str">
        <f ca="1">VLOOKUP(AR_table!$F237,aging_bucket[#All],2)</f>
        <v>31-60</v>
      </c>
    </row>
    <row r="238" spans="1:7" x14ac:dyDescent="0.3">
      <c r="A238" s="25" t="s">
        <v>228</v>
      </c>
      <c r="B238" s="13" t="s">
        <v>594</v>
      </c>
      <c r="C238" s="26">
        <v>46092</v>
      </c>
      <c r="D238" s="26">
        <f>WORKDAY(AR_table!$C238,$J$1)</f>
        <v>46134</v>
      </c>
      <c r="E238" s="27">
        <v>3493.6</v>
      </c>
      <c r="F238" s="10">
        <f ca="1">IF(AR_table!$D238&gt;=TODAY(),0,NETWORKDAYS(AR_table!$D238,TODAY()))</f>
        <v>0</v>
      </c>
      <c r="G238" s="13" t="str">
        <f ca="1">VLOOKUP(AR_table!$F238,aging_bucket[#All],2)</f>
        <v>Not due</v>
      </c>
    </row>
    <row r="239" spans="1:7" x14ac:dyDescent="0.3">
      <c r="A239" s="12" t="s">
        <v>229</v>
      </c>
      <c r="B239" s="10" t="s">
        <v>595</v>
      </c>
      <c r="C239" s="14">
        <v>46045</v>
      </c>
      <c r="D239" s="14">
        <f>WORKDAY(AR_table!$C239,$J$1)</f>
        <v>46087</v>
      </c>
      <c r="E239" s="15">
        <v>547.94000000000005</v>
      </c>
      <c r="F239" s="10">
        <f ca="1">IF(AR_table!$D239&gt;=TODAY(),0,NETWORKDAYS(AR_table!$D239,TODAY()))</f>
        <v>0</v>
      </c>
      <c r="G239" s="10" t="str">
        <f ca="1">VLOOKUP(AR_table!$F239,aging_bucket[#All],2)</f>
        <v>Not due</v>
      </c>
    </row>
    <row r="240" spans="1:7" x14ac:dyDescent="0.3">
      <c r="A240" s="25" t="s">
        <v>230</v>
      </c>
      <c r="B240" s="13" t="s">
        <v>591</v>
      </c>
      <c r="C240" s="26">
        <v>46003</v>
      </c>
      <c r="D240" s="26">
        <f>WORKDAY(AR_table!$C240,$J$1)</f>
        <v>46045</v>
      </c>
      <c r="E240" s="27">
        <v>5276.49</v>
      </c>
      <c r="F240" s="10">
        <f ca="1">IF(AR_table!$D240&gt;=TODAY(),0,NETWORKDAYS(AR_table!$D240,TODAY()))</f>
        <v>14</v>
      </c>
      <c r="G240" s="13" t="str">
        <f ca="1">VLOOKUP(AR_table!$F240,aging_bucket[#All],2)</f>
        <v>1-30</v>
      </c>
    </row>
    <row r="241" spans="1:7" x14ac:dyDescent="0.3">
      <c r="A241" s="12" t="s">
        <v>231</v>
      </c>
      <c r="B241" s="10" t="s">
        <v>595</v>
      </c>
      <c r="C241" s="14">
        <v>45767</v>
      </c>
      <c r="D241" s="14">
        <f>WORKDAY(AR_table!$C241,$J$1)</f>
        <v>45807</v>
      </c>
      <c r="E241" s="15">
        <v>1752.5</v>
      </c>
      <c r="F241" s="10">
        <f ca="1">IF(AR_table!$D241&gt;=TODAY(),0,NETWORKDAYS(AR_table!$D241,TODAY()))</f>
        <v>184</v>
      </c>
      <c r="G241" s="10" t="str">
        <f ca="1">VLOOKUP(AR_table!$F241,aging_bucket[#All],2)</f>
        <v>&gt;90</v>
      </c>
    </row>
    <row r="242" spans="1:7" x14ac:dyDescent="0.3">
      <c r="A242" s="25" t="s">
        <v>232</v>
      </c>
      <c r="B242" s="13" t="s">
        <v>595</v>
      </c>
      <c r="C242" s="26">
        <v>46192</v>
      </c>
      <c r="D242" s="26">
        <f>WORKDAY(AR_table!$C242,$J$1)</f>
        <v>46234</v>
      </c>
      <c r="E242" s="27">
        <v>3580.72</v>
      </c>
      <c r="F242" s="10">
        <f ca="1">IF(AR_table!$D242&gt;=TODAY(),0,NETWORKDAYS(AR_table!$D242,TODAY()))</f>
        <v>0</v>
      </c>
      <c r="G242" s="13" t="str">
        <f ca="1">VLOOKUP(AR_table!$F242,aging_bucket[#All],2)</f>
        <v>Not due</v>
      </c>
    </row>
    <row r="243" spans="1:7" x14ac:dyDescent="0.3">
      <c r="A243" s="12" t="s">
        <v>233</v>
      </c>
      <c r="B243" s="10" t="s">
        <v>592</v>
      </c>
      <c r="C243" s="14">
        <v>45893</v>
      </c>
      <c r="D243" s="14">
        <f>WORKDAY(AR_table!$C243,$J$1)</f>
        <v>45933</v>
      </c>
      <c r="E243" s="15">
        <v>6738.75</v>
      </c>
      <c r="F243" s="10">
        <f ca="1">IF(AR_table!$D243&gt;=TODAY(),0,NETWORKDAYS(AR_table!$D243,TODAY()))</f>
        <v>94</v>
      </c>
      <c r="G243" s="10" t="str">
        <f ca="1">VLOOKUP(AR_table!$F243,aging_bucket[#All],2)</f>
        <v>&gt;90</v>
      </c>
    </row>
    <row r="244" spans="1:7" x14ac:dyDescent="0.3">
      <c r="A244" s="25" t="s">
        <v>234</v>
      </c>
      <c r="B244" s="13" t="s">
        <v>594</v>
      </c>
      <c r="C244" s="26">
        <v>45792</v>
      </c>
      <c r="D244" s="26">
        <f>WORKDAY(AR_table!$C244,$J$1)</f>
        <v>45834</v>
      </c>
      <c r="E244" s="27">
        <v>6004.91</v>
      </c>
      <c r="F244" s="10">
        <f ca="1">IF(AR_table!$D244&gt;=TODAY(),0,NETWORKDAYS(AR_table!$D244,TODAY()))</f>
        <v>165</v>
      </c>
      <c r="G244" s="13" t="str">
        <f ca="1">VLOOKUP(AR_table!$F244,aging_bucket[#All],2)</f>
        <v>&gt;90</v>
      </c>
    </row>
    <row r="245" spans="1:7" x14ac:dyDescent="0.3">
      <c r="A245" s="12" t="s">
        <v>235</v>
      </c>
      <c r="B245" s="10" t="s">
        <v>592</v>
      </c>
      <c r="C245" s="14">
        <v>45705</v>
      </c>
      <c r="D245" s="14">
        <f>WORKDAY(AR_table!$C245,$J$1)</f>
        <v>45747</v>
      </c>
      <c r="E245" s="15">
        <v>7397.93</v>
      </c>
      <c r="F245" s="10">
        <f ca="1">IF(AR_table!$D245&gt;=TODAY(),0,NETWORKDAYS(AR_table!$D245,TODAY()))</f>
        <v>228</v>
      </c>
      <c r="G245" s="10" t="str">
        <f ca="1">VLOOKUP(AR_table!$F245,aging_bucket[#All],2)</f>
        <v>&gt;90</v>
      </c>
    </row>
    <row r="246" spans="1:7" x14ac:dyDescent="0.3">
      <c r="A246" s="12" t="s">
        <v>236</v>
      </c>
      <c r="B246" s="10" t="s">
        <v>592</v>
      </c>
      <c r="C246" s="14">
        <v>45936</v>
      </c>
      <c r="D246" s="14">
        <f>WORKDAY(AR_table!$C246,$J$1)</f>
        <v>45978</v>
      </c>
      <c r="E246" s="15">
        <v>6683.45</v>
      </c>
      <c r="F246" s="10">
        <f ca="1">IF(AR_table!$D246&gt;=TODAY(),0,NETWORKDAYS(AR_table!$D246,TODAY()))</f>
        <v>63</v>
      </c>
      <c r="G246" s="10" t="str">
        <f ca="1">VLOOKUP(AR_table!$F246,aging_bucket[#All],2)</f>
        <v>61-90</v>
      </c>
    </row>
    <row r="247" spans="1:7" x14ac:dyDescent="0.3">
      <c r="A247" s="12" t="s">
        <v>237</v>
      </c>
      <c r="B247" s="10" t="s">
        <v>595</v>
      </c>
      <c r="C247" s="14">
        <v>45941</v>
      </c>
      <c r="D247" s="14">
        <f>WORKDAY(AR_table!$C247,$J$1)</f>
        <v>45982</v>
      </c>
      <c r="E247" s="15">
        <v>6345.32</v>
      </c>
      <c r="F247" s="10">
        <f ca="1">IF(AR_table!$D247&gt;=TODAY(),0,NETWORKDAYS(AR_table!$D247,TODAY()))</f>
        <v>59</v>
      </c>
      <c r="G247" s="10" t="str">
        <f ca="1">VLOOKUP(AR_table!$F247,aging_bucket[#All],2)</f>
        <v>31-60</v>
      </c>
    </row>
    <row r="248" spans="1:7" x14ac:dyDescent="0.3">
      <c r="A248" s="12" t="s">
        <v>238</v>
      </c>
      <c r="B248" s="10" t="s">
        <v>591</v>
      </c>
      <c r="C248" s="14">
        <v>46141</v>
      </c>
      <c r="D248" s="14">
        <f>WORKDAY(AR_table!$C248,$J$1)</f>
        <v>46183</v>
      </c>
      <c r="E248" s="15">
        <v>6384.66</v>
      </c>
      <c r="F248" s="10">
        <f ca="1">IF(AR_table!$D248&gt;=TODAY(),0,NETWORKDAYS(AR_table!$D248,TODAY()))</f>
        <v>0</v>
      </c>
      <c r="G248" s="10" t="str">
        <f ca="1">VLOOKUP(AR_table!$F248,aging_bucket[#All],2)</f>
        <v>Not due</v>
      </c>
    </row>
    <row r="249" spans="1:7" x14ac:dyDescent="0.3">
      <c r="A249" s="25" t="s">
        <v>239</v>
      </c>
      <c r="B249" s="13" t="s">
        <v>593</v>
      </c>
      <c r="C249" s="26">
        <v>45692</v>
      </c>
      <c r="D249" s="26">
        <f>WORKDAY(AR_table!$C249,$J$1)</f>
        <v>45734</v>
      </c>
      <c r="E249" s="27">
        <v>7693.54</v>
      </c>
      <c r="F249" s="10">
        <f ca="1">IF(AR_table!$D249&gt;=TODAY(),0,NETWORKDAYS(AR_table!$D249,TODAY()))</f>
        <v>237</v>
      </c>
      <c r="G249" s="13" t="str">
        <f ca="1">VLOOKUP(AR_table!$F249,aging_bucket[#All],2)</f>
        <v>&gt;90</v>
      </c>
    </row>
    <row r="250" spans="1:7" x14ac:dyDescent="0.3">
      <c r="A250" s="12" t="s">
        <v>240</v>
      </c>
      <c r="B250" s="10" t="s">
        <v>593</v>
      </c>
      <c r="C250" s="14">
        <v>45904</v>
      </c>
      <c r="D250" s="14">
        <f>WORKDAY(AR_table!$C250,$J$1)</f>
        <v>45946</v>
      </c>
      <c r="E250" s="15">
        <v>6624.35</v>
      </c>
      <c r="F250" s="10">
        <f ca="1">IF(AR_table!$D250&gt;=TODAY(),0,NETWORKDAYS(AR_table!$D250,TODAY()))</f>
        <v>85</v>
      </c>
      <c r="G250" s="10" t="str">
        <f ca="1">VLOOKUP(AR_table!$F250,aging_bucket[#All],2)</f>
        <v>61-90</v>
      </c>
    </row>
    <row r="251" spans="1:7" x14ac:dyDescent="0.3">
      <c r="A251" s="12" t="s">
        <v>241</v>
      </c>
      <c r="B251" s="10" t="s">
        <v>595</v>
      </c>
      <c r="C251" s="14">
        <v>45676</v>
      </c>
      <c r="D251" s="14">
        <f>WORKDAY(AR_table!$C251,$J$1)</f>
        <v>45716</v>
      </c>
      <c r="E251" s="15">
        <v>6594.56</v>
      </c>
      <c r="F251" s="10">
        <f ca="1">IF(AR_table!$D251&gt;=TODAY(),0,NETWORKDAYS(AR_table!$D251,TODAY()))</f>
        <v>249</v>
      </c>
      <c r="G251" s="10" t="str">
        <f ca="1">VLOOKUP(AR_table!$F251,aging_bucket[#All],2)</f>
        <v>&gt;90</v>
      </c>
    </row>
    <row r="252" spans="1:7" x14ac:dyDescent="0.3">
      <c r="A252" s="25" t="s">
        <v>242</v>
      </c>
      <c r="B252" s="13" t="s">
        <v>591</v>
      </c>
      <c r="C252" s="26">
        <v>45994</v>
      </c>
      <c r="D252" s="26">
        <f>WORKDAY(AR_table!$C252,$J$1)</f>
        <v>46036</v>
      </c>
      <c r="E252" s="27">
        <v>1143.42</v>
      </c>
      <c r="F252" s="10">
        <f ca="1">IF(AR_table!$D252&gt;=TODAY(),0,NETWORKDAYS(AR_table!$D252,TODAY()))</f>
        <v>21</v>
      </c>
      <c r="G252" s="13" t="str">
        <f ca="1">VLOOKUP(AR_table!$F252,aging_bucket[#All],2)</f>
        <v>1-30</v>
      </c>
    </row>
    <row r="253" spans="1:7" x14ac:dyDescent="0.3">
      <c r="A253" s="12" t="s">
        <v>243</v>
      </c>
      <c r="B253" s="10" t="s">
        <v>594</v>
      </c>
      <c r="C253" s="14">
        <v>46058</v>
      </c>
      <c r="D253" s="14">
        <f>WORKDAY(AR_table!$C253,$J$1)</f>
        <v>46100</v>
      </c>
      <c r="E253" s="15">
        <v>4928.9399999999996</v>
      </c>
      <c r="F253" s="10">
        <f ca="1">IF(AR_table!$D253&gt;=TODAY(),0,NETWORKDAYS(AR_table!$D253,TODAY()))</f>
        <v>0</v>
      </c>
      <c r="G253" s="10" t="str">
        <f ca="1">VLOOKUP(AR_table!$F253,aging_bucket[#All],2)</f>
        <v>Not due</v>
      </c>
    </row>
    <row r="254" spans="1:7" x14ac:dyDescent="0.3">
      <c r="A254" s="25" t="s">
        <v>244</v>
      </c>
      <c r="B254" s="13" t="s">
        <v>595</v>
      </c>
      <c r="C254" s="26">
        <v>45659</v>
      </c>
      <c r="D254" s="26">
        <f>WORKDAY(AR_table!$C254,$J$1)</f>
        <v>45701</v>
      </c>
      <c r="E254" s="27">
        <v>1440.91</v>
      </c>
      <c r="F254" s="10">
        <f ca="1">IF(AR_table!$D254&gt;=TODAY(),0,NETWORKDAYS(AR_table!$D254,TODAY()))</f>
        <v>260</v>
      </c>
      <c r="G254" s="13" t="str">
        <f ca="1">VLOOKUP(AR_table!$F254,aging_bucket[#All],2)</f>
        <v>&gt;90</v>
      </c>
    </row>
    <row r="255" spans="1:7" x14ac:dyDescent="0.3">
      <c r="A255" s="25" t="s">
        <v>245</v>
      </c>
      <c r="B255" s="13" t="s">
        <v>595</v>
      </c>
      <c r="C255" s="26">
        <v>45818</v>
      </c>
      <c r="D255" s="26">
        <f>WORKDAY(AR_table!$C255,$J$1)</f>
        <v>45860</v>
      </c>
      <c r="E255" s="27">
        <v>1827.23</v>
      </c>
      <c r="F255" s="10">
        <f ca="1">IF(AR_table!$D255&gt;=TODAY(),0,NETWORKDAYS(AR_table!$D255,TODAY()))</f>
        <v>147</v>
      </c>
      <c r="G255" s="13" t="str">
        <f ca="1">VLOOKUP(AR_table!$F255,aging_bucket[#All],2)</f>
        <v>&gt;90</v>
      </c>
    </row>
    <row r="256" spans="1:7" x14ac:dyDescent="0.3">
      <c r="A256" s="25" t="s">
        <v>246</v>
      </c>
      <c r="B256" s="13" t="s">
        <v>591</v>
      </c>
      <c r="C256" s="26">
        <v>45906</v>
      </c>
      <c r="D256" s="26">
        <f>WORKDAY(AR_table!$C256,$J$1)</f>
        <v>45947</v>
      </c>
      <c r="E256" s="27">
        <v>3694.12</v>
      </c>
      <c r="F256" s="10">
        <f ca="1">IF(AR_table!$D256&gt;=TODAY(),0,NETWORKDAYS(AR_table!$D256,TODAY()))</f>
        <v>84</v>
      </c>
      <c r="G256" s="13" t="str">
        <f ca="1">VLOOKUP(AR_table!$F256,aging_bucket[#All],2)</f>
        <v>61-90</v>
      </c>
    </row>
    <row r="257" spans="1:7" x14ac:dyDescent="0.3">
      <c r="A257" s="12" t="s">
        <v>247</v>
      </c>
      <c r="B257" s="10" t="s">
        <v>595</v>
      </c>
      <c r="C257" s="14">
        <v>45883</v>
      </c>
      <c r="D257" s="14">
        <f>WORKDAY(AR_table!$C257,$J$1)</f>
        <v>45925</v>
      </c>
      <c r="E257" s="15">
        <v>2691.8</v>
      </c>
      <c r="F257" s="10">
        <f ca="1">IF(AR_table!$D257&gt;=TODAY(),0,NETWORKDAYS(AR_table!$D257,TODAY()))</f>
        <v>100</v>
      </c>
      <c r="G257" s="10" t="str">
        <f ca="1">VLOOKUP(AR_table!$F257,aging_bucket[#All],2)</f>
        <v>&gt;90</v>
      </c>
    </row>
    <row r="258" spans="1:7" x14ac:dyDescent="0.3">
      <c r="A258" s="25" t="s">
        <v>248</v>
      </c>
      <c r="B258" s="13" t="s">
        <v>594</v>
      </c>
      <c r="C258" s="26">
        <v>45879</v>
      </c>
      <c r="D258" s="26">
        <f>WORKDAY(AR_table!$C258,$J$1)</f>
        <v>45919</v>
      </c>
      <c r="E258" s="27">
        <v>607.58000000000004</v>
      </c>
      <c r="F258" s="10">
        <f ca="1">IF(AR_table!$D258&gt;=TODAY(),0,NETWORKDAYS(AR_table!$D258,TODAY()))</f>
        <v>104</v>
      </c>
      <c r="G258" s="13" t="str">
        <f ca="1">VLOOKUP(AR_table!$F258,aging_bucket[#All],2)</f>
        <v>&gt;90</v>
      </c>
    </row>
    <row r="259" spans="1:7" x14ac:dyDescent="0.3">
      <c r="A259" s="12" t="s">
        <v>249</v>
      </c>
      <c r="B259" s="10" t="s">
        <v>594</v>
      </c>
      <c r="C259" s="14">
        <v>45855</v>
      </c>
      <c r="D259" s="14">
        <f>WORKDAY(AR_table!$C259,$J$1)</f>
        <v>45897</v>
      </c>
      <c r="E259" s="15">
        <v>6330.55</v>
      </c>
      <c r="F259" s="10">
        <f ca="1">IF(AR_table!$D259&gt;=TODAY(),0,NETWORKDAYS(AR_table!$D259,TODAY()))</f>
        <v>120</v>
      </c>
      <c r="G259" s="10" t="str">
        <f ca="1">VLOOKUP(AR_table!$F259,aging_bucket[#All],2)</f>
        <v>&gt;90</v>
      </c>
    </row>
    <row r="260" spans="1:7" x14ac:dyDescent="0.3">
      <c r="A260" s="25" t="s">
        <v>250</v>
      </c>
      <c r="B260" s="13" t="s">
        <v>591</v>
      </c>
      <c r="C260" s="26">
        <v>45787</v>
      </c>
      <c r="D260" s="26">
        <f>WORKDAY(AR_table!$C260,$J$1)</f>
        <v>45828</v>
      </c>
      <c r="E260" s="27">
        <v>3116.61</v>
      </c>
      <c r="F260" s="10">
        <f ca="1">IF(AR_table!$D260&gt;=TODAY(),0,NETWORKDAYS(AR_table!$D260,TODAY()))</f>
        <v>169</v>
      </c>
      <c r="G260" s="13" t="str">
        <f ca="1">VLOOKUP(AR_table!$F260,aging_bucket[#All],2)</f>
        <v>&gt;90</v>
      </c>
    </row>
    <row r="261" spans="1:7" x14ac:dyDescent="0.3">
      <c r="A261" s="12" t="s">
        <v>251</v>
      </c>
      <c r="B261" s="10" t="s">
        <v>592</v>
      </c>
      <c r="C261" s="14">
        <v>45678</v>
      </c>
      <c r="D261" s="14">
        <f>WORKDAY(AR_table!$C261,$J$1)</f>
        <v>45720</v>
      </c>
      <c r="E261" s="15">
        <v>3804.81</v>
      </c>
      <c r="F261" s="10">
        <f ca="1">IF(AR_table!$D261&gt;=TODAY(),0,NETWORKDAYS(AR_table!$D261,TODAY()))</f>
        <v>247</v>
      </c>
      <c r="G261" s="10" t="str">
        <f ca="1">VLOOKUP(AR_table!$F261,aging_bucket[#All],2)</f>
        <v>&gt;90</v>
      </c>
    </row>
    <row r="262" spans="1:7" x14ac:dyDescent="0.3">
      <c r="A262" s="12" t="s">
        <v>252</v>
      </c>
      <c r="B262" s="10" t="s">
        <v>592</v>
      </c>
      <c r="C262" s="14">
        <v>45863</v>
      </c>
      <c r="D262" s="14">
        <f>WORKDAY(AR_table!$C262,$J$1)</f>
        <v>45905</v>
      </c>
      <c r="E262" s="15">
        <v>7847.61</v>
      </c>
      <c r="F262" s="10">
        <f ca="1">IF(AR_table!$D262&gt;=TODAY(),0,NETWORKDAYS(AR_table!$D262,TODAY()))</f>
        <v>114</v>
      </c>
      <c r="G262" s="10" t="str">
        <f ca="1">VLOOKUP(AR_table!$F262,aging_bucket[#All],2)</f>
        <v>&gt;90</v>
      </c>
    </row>
    <row r="263" spans="1:7" x14ac:dyDescent="0.3">
      <c r="A263" s="25" t="s">
        <v>253</v>
      </c>
      <c r="B263" s="13" t="s">
        <v>595</v>
      </c>
      <c r="C263" s="26">
        <v>45773</v>
      </c>
      <c r="D263" s="26">
        <f>WORKDAY(AR_table!$C263,$J$1)</f>
        <v>45814</v>
      </c>
      <c r="E263" s="27">
        <v>6567.27</v>
      </c>
      <c r="F263" s="10">
        <f ca="1">IF(AR_table!$D263&gt;=TODAY(),0,NETWORKDAYS(AR_table!$D263,TODAY()))</f>
        <v>179</v>
      </c>
      <c r="G263" s="13" t="str">
        <f ca="1">VLOOKUP(AR_table!$F263,aging_bucket[#All],2)</f>
        <v>&gt;90</v>
      </c>
    </row>
    <row r="264" spans="1:7" x14ac:dyDescent="0.3">
      <c r="A264" s="25" t="s">
        <v>254</v>
      </c>
      <c r="B264" s="13" t="s">
        <v>595</v>
      </c>
      <c r="C264" s="26">
        <v>45824</v>
      </c>
      <c r="D264" s="26">
        <f>WORKDAY(AR_table!$C264,$J$1)</f>
        <v>45866</v>
      </c>
      <c r="E264" s="27">
        <v>1676.02</v>
      </c>
      <c r="F264" s="10">
        <f ca="1">IF(AR_table!$D264&gt;=TODAY(),0,NETWORKDAYS(AR_table!$D264,TODAY()))</f>
        <v>143</v>
      </c>
      <c r="G264" s="13" t="str">
        <f ca="1">VLOOKUP(AR_table!$F264,aging_bucket[#All],2)</f>
        <v>&gt;90</v>
      </c>
    </row>
    <row r="265" spans="1:7" x14ac:dyDescent="0.3">
      <c r="A265" s="12" t="s">
        <v>255</v>
      </c>
      <c r="B265" s="10" t="s">
        <v>593</v>
      </c>
      <c r="C265" s="14">
        <v>45811</v>
      </c>
      <c r="D265" s="14">
        <f>WORKDAY(AR_table!$C265,$J$1)</f>
        <v>45853</v>
      </c>
      <c r="E265" s="15">
        <v>2327.48</v>
      </c>
      <c r="F265" s="10">
        <f ca="1">IF(AR_table!$D265&gt;=TODAY(),0,NETWORKDAYS(AR_table!$D265,TODAY()))</f>
        <v>152</v>
      </c>
      <c r="G265" s="10" t="str">
        <f ca="1">VLOOKUP(AR_table!$F265,aging_bucket[#All],2)</f>
        <v>&gt;90</v>
      </c>
    </row>
    <row r="266" spans="1:7" x14ac:dyDescent="0.3">
      <c r="A266" s="25" t="s">
        <v>256</v>
      </c>
      <c r="B266" s="13" t="s">
        <v>595</v>
      </c>
      <c r="C266" s="26">
        <v>46130</v>
      </c>
      <c r="D266" s="26">
        <f>WORKDAY(AR_table!$C266,$J$1)</f>
        <v>46171</v>
      </c>
      <c r="E266" s="27">
        <v>3446.92</v>
      </c>
      <c r="F266" s="10">
        <f ca="1">IF(AR_table!$D266&gt;=TODAY(),0,NETWORKDAYS(AR_table!$D266,TODAY()))</f>
        <v>0</v>
      </c>
      <c r="G266" s="13" t="str">
        <f ca="1">VLOOKUP(AR_table!$F266,aging_bucket[#All],2)</f>
        <v>Not due</v>
      </c>
    </row>
    <row r="267" spans="1:7" x14ac:dyDescent="0.3">
      <c r="A267" s="12" t="s">
        <v>257</v>
      </c>
      <c r="B267" s="10" t="s">
        <v>594</v>
      </c>
      <c r="C267" s="14">
        <v>45858</v>
      </c>
      <c r="D267" s="14">
        <f>WORKDAY(AR_table!$C267,$J$1)</f>
        <v>45898</v>
      </c>
      <c r="E267" s="15">
        <v>7984.68</v>
      </c>
      <c r="F267" s="10">
        <f ca="1">IF(AR_table!$D267&gt;=TODAY(),0,NETWORKDAYS(AR_table!$D267,TODAY()))</f>
        <v>119</v>
      </c>
      <c r="G267" s="10" t="str">
        <f ca="1">VLOOKUP(AR_table!$F267,aging_bucket[#All],2)</f>
        <v>&gt;90</v>
      </c>
    </row>
    <row r="268" spans="1:7" x14ac:dyDescent="0.3">
      <c r="A268" s="25" t="s">
        <v>258</v>
      </c>
      <c r="B268" s="13" t="s">
        <v>591</v>
      </c>
      <c r="C268" s="26">
        <v>45680</v>
      </c>
      <c r="D268" s="26">
        <f>WORKDAY(AR_table!$C268,$J$1)</f>
        <v>45722</v>
      </c>
      <c r="E268" s="27">
        <v>6686.26</v>
      </c>
      <c r="F268" s="10">
        <f ca="1">IF(AR_table!$D268&gt;=TODAY(),0,NETWORKDAYS(AR_table!$D268,TODAY()))</f>
        <v>245</v>
      </c>
      <c r="G268" s="13" t="str">
        <f ca="1">VLOOKUP(AR_table!$F268,aging_bucket[#All],2)</f>
        <v>&gt;90</v>
      </c>
    </row>
    <row r="269" spans="1:7" x14ac:dyDescent="0.3">
      <c r="A269" s="12" t="s">
        <v>259</v>
      </c>
      <c r="B269" s="10" t="s">
        <v>591</v>
      </c>
      <c r="C269" s="14">
        <v>46143</v>
      </c>
      <c r="D269" s="14">
        <f>WORKDAY(AR_table!$C269,$J$1)</f>
        <v>46185</v>
      </c>
      <c r="E269" s="15">
        <v>7289.46</v>
      </c>
      <c r="F269" s="10">
        <f ca="1">IF(AR_table!$D269&gt;=TODAY(),0,NETWORKDAYS(AR_table!$D269,TODAY()))</f>
        <v>0</v>
      </c>
      <c r="G269" s="10" t="str">
        <f ca="1">VLOOKUP(AR_table!$F269,aging_bucket[#All],2)</f>
        <v>Not due</v>
      </c>
    </row>
    <row r="270" spans="1:7" x14ac:dyDescent="0.3">
      <c r="A270" s="25" t="s">
        <v>260</v>
      </c>
      <c r="B270" s="13" t="s">
        <v>595</v>
      </c>
      <c r="C270" s="26">
        <v>46105</v>
      </c>
      <c r="D270" s="26">
        <f>WORKDAY(AR_table!$C270,$J$1)</f>
        <v>46147</v>
      </c>
      <c r="E270" s="27">
        <v>5288.29</v>
      </c>
      <c r="F270" s="10">
        <f ca="1">IF(AR_table!$D270&gt;=TODAY(),0,NETWORKDAYS(AR_table!$D270,TODAY()))</f>
        <v>0</v>
      </c>
      <c r="G270" s="13" t="str">
        <f ca="1">VLOOKUP(AR_table!$F270,aging_bucket[#All],2)</f>
        <v>Not due</v>
      </c>
    </row>
    <row r="271" spans="1:7" x14ac:dyDescent="0.3">
      <c r="A271" s="25" t="s">
        <v>261</v>
      </c>
      <c r="B271" s="13" t="s">
        <v>594</v>
      </c>
      <c r="C271" s="26">
        <v>46010</v>
      </c>
      <c r="D271" s="26">
        <f>WORKDAY(AR_table!$C271,$J$1)</f>
        <v>46052</v>
      </c>
      <c r="E271" s="27">
        <v>2428.5300000000002</v>
      </c>
      <c r="F271" s="10">
        <f ca="1">IF(AR_table!$D271&gt;=TODAY(),0,NETWORKDAYS(AR_table!$D271,TODAY()))</f>
        <v>9</v>
      </c>
      <c r="G271" s="13" t="str">
        <f ca="1">VLOOKUP(AR_table!$F271,aging_bucket[#All],2)</f>
        <v>1-30</v>
      </c>
    </row>
    <row r="272" spans="1:7" x14ac:dyDescent="0.3">
      <c r="A272" s="25" t="s">
        <v>262</v>
      </c>
      <c r="B272" s="13" t="s">
        <v>595</v>
      </c>
      <c r="C272" s="26">
        <v>45709</v>
      </c>
      <c r="D272" s="26">
        <f>WORKDAY(AR_table!$C272,$J$1)</f>
        <v>45751</v>
      </c>
      <c r="E272" s="27">
        <v>5625.72</v>
      </c>
      <c r="F272" s="10">
        <f ca="1">IF(AR_table!$D272&gt;=TODAY(),0,NETWORKDAYS(AR_table!$D272,TODAY()))</f>
        <v>224</v>
      </c>
      <c r="G272" s="13" t="str">
        <f ca="1">VLOOKUP(AR_table!$F272,aging_bucket[#All],2)</f>
        <v>&gt;90</v>
      </c>
    </row>
    <row r="273" spans="1:7" x14ac:dyDescent="0.3">
      <c r="A273" s="12" t="s">
        <v>263</v>
      </c>
      <c r="B273" s="10" t="s">
        <v>593</v>
      </c>
      <c r="C273" s="14">
        <v>45842</v>
      </c>
      <c r="D273" s="14">
        <f>WORKDAY(AR_table!$C273,$J$1)</f>
        <v>45884</v>
      </c>
      <c r="E273" s="15">
        <v>4123.71</v>
      </c>
      <c r="F273" s="10">
        <f ca="1">IF(AR_table!$D273&gt;=TODAY(),0,NETWORKDAYS(AR_table!$D273,TODAY()))</f>
        <v>129</v>
      </c>
      <c r="G273" s="10" t="str">
        <f ca="1">VLOOKUP(AR_table!$F273,aging_bucket[#All],2)</f>
        <v>&gt;90</v>
      </c>
    </row>
    <row r="274" spans="1:7" x14ac:dyDescent="0.3">
      <c r="A274" s="25" t="s">
        <v>264</v>
      </c>
      <c r="B274" s="13" t="s">
        <v>594</v>
      </c>
      <c r="C274" s="26">
        <v>46179</v>
      </c>
      <c r="D274" s="26">
        <f>WORKDAY(AR_table!$C274,$J$1)</f>
        <v>46220</v>
      </c>
      <c r="E274" s="27">
        <v>6281.96</v>
      </c>
      <c r="F274" s="10">
        <f ca="1">IF(AR_table!$D274&gt;=TODAY(),0,NETWORKDAYS(AR_table!$D274,TODAY()))</f>
        <v>0</v>
      </c>
      <c r="G274" s="13" t="str">
        <f ca="1">VLOOKUP(AR_table!$F274,aging_bucket[#All],2)</f>
        <v>Not due</v>
      </c>
    </row>
    <row r="275" spans="1:7" x14ac:dyDescent="0.3">
      <c r="A275" s="12" t="s">
        <v>265</v>
      </c>
      <c r="B275" s="10" t="s">
        <v>591</v>
      </c>
      <c r="C275" s="14">
        <v>45769</v>
      </c>
      <c r="D275" s="14">
        <f>WORKDAY(AR_table!$C275,$J$1)</f>
        <v>45811</v>
      </c>
      <c r="E275" s="15">
        <v>5969.43</v>
      </c>
      <c r="F275" s="10">
        <f ca="1">IF(AR_table!$D275&gt;=TODAY(),0,NETWORKDAYS(AR_table!$D275,TODAY()))</f>
        <v>182</v>
      </c>
      <c r="G275" s="10" t="str">
        <f ca="1">VLOOKUP(AR_table!$F275,aging_bucket[#All],2)</f>
        <v>&gt;90</v>
      </c>
    </row>
    <row r="276" spans="1:7" x14ac:dyDescent="0.3">
      <c r="A276" s="25" t="s">
        <v>266</v>
      </c>
      <c r="B276" s="13" t="s">
        <v>591</v>
      </c>
      <c r="C276" s="26">
        <v>46023</v>
      </c>
      <c r="D276" s="26">
        <f>WORKDAY(AR_table!$C276,$J$1)</f>
        <v>46065</v>
      </c>
      <c r="E276" s="27">
        <v>1704.24</v>
      </c>
      <c r="F276" s="10">
        <f ca="1">IF(AR_table!$D276&gt;=TODAY(),0,NETWORKDAYS(AR_table!$D276,TODAY()))</f>
        <v>0</v>
      </c>
      <c r="G276" s="13" t="str">
        <f ca="1">VLOOKUP(AR_table!$F276,aging_bucket[#All],2)</f>
        <v>Not due</v>
      </c>
    </row>
    <row r="277" spans="1:7" x14ac:dyDescent="0.3">
      <c r="A277" s="12" t="s">
        <v>267</v>
      </c>
      <c r="B277" s="10" t="s">
        <v>592</v>
      </c>
      <c r="C277" s="14">
        <v>46002</v>
      </c>
      <c r="D277" s="14">
        <f>WORKDAY(AR_table!$C277,$J$1)</f>
        <v>46044</v>
      </c>
      <c r="E277" s="15">
        <v>4385.67</v>
      </c>
      <c r="F277" s="10">
        <f ca="1">IF(AR_table!$D277&gt;=TODAY(),0,NETWORKDAYS(AR_table!$D277,TODAY()))</f>
        <v>15</v>
      </c>
      <c r="G277" s="10" t="str">
        <f ca="1">VLOOKUP(AR_table!$F277,aging_bucket[#All],2)</f>
        <v>1-30</v>
      </c>
    </row>
    <row r="278" spans="1:7" x14ac:dyDescent="0.3">
      <c r="A278" s="25" t="s">
        <v>268</v>
      </c>
      <c r="B278" s="13" t="s">
        <v>593</v>
      </c>
      <c r="C278" s="26">
        <v>45955</v>
      </c>
      <c r="D278" s="26">
        <f>WORKDAY(AR_table!$C278,$J$1)</f>
        <v>45996</v>
      </c>
      <c r="E278" s="27">
        <v>2115.17</v>
      </c>
      <c r="F278" s="10">
        <f ca="1">IF(AR_table!$D278&gt;=TODAY(),0,NETWORKDAYS(AR_table!$D278,TODAY()))</f>
        <v>49</v>
      </c>
      <c r="G278" s="13" t="str">
        <f ca="1">VLOOKUP(AR_table!$F278,aging_bucket[#All],2)</f>
        <v>31-60</v>
      </c>
    </row>
    <row r="279" spans="1:7" x14ac:dyDescent="0.3">
      <c r="A279" s="12" t="s">
        <v>269</v>
      </c>
      <c r="B279" s="10" t="s">
        <v>592</v>
      </c>
      <c r="C279" s="14">
        <v>46149</v>
      </c>
      <c r="D279" s="14">
        <f>WORKDAY(AR_table!$C279,$J$1)</f>
        <v>46191</v>
      </c>
      <c r="E279" s="15">
        <v>3323.86</v>
      </c>
      <c r="F279" s="10">
        <f ca="1">IF(AR_table!$D279&gt;=TODAY(),0,NETWORKDAYS(AR_table!$D279,TODAY()))</f>
        <v>0</v>
      </c>
      <c r="G279" s="10" t="str">
        <f ca="1">VLOOKUP(AR_table!$F279,aging_bucket[#All],2)</f>
        <v>Not due</v>
      </c>
    </row>
    <row r="280" spans="1:7" x14ac:dyDescent="0.3">
      <c r="A280" s="12" t="s">
        <v>270</v>
      </c>
      <c r="B280" s="10" t="s">
        <v>595</v>
      </c>
      <c r="C280" s="14">
        <v>45945</v>
      </c>
      <c r="D280" s="14">
        <f>WORKDAY(AR_table!$C280,$J$1)</f>
        <v>45987</v>
      </c>
      <c r="E280" s="15">
        <v>3609.1</v>
      </c>
      <c r="F280" s="10">
        <f ca="1">IF(AR_table!$D280&gt;=TODAY(),0,NETWORKDAYS(AR_table!$D280,TODAY()))</f>
        <v>56</v>
      </c>
      <c r="G280" s="10" t="str">
        <f ca="1">VLOOKUP(AR_table!$F280,aging_bucket[#All],2)</f>
        <v>31-60</v>
      </c>
    </row>
    <row r="281" spans="1:7" x14ac:dyDescent="0.3">
      <c r="A281" s="12" t="s">
        <v>271</v>
      </c>
      <c r="B281" s="10" t="s">
        <v>593</v>
      </c>
      <c r="C281" s="14">
        <v>46172</v>
      </c>
      <c r="D281" s="14">
        <f>WORKDAY(AR_table!$C281,$J$1)</f>
        <v>46213</v>
      </c>
      <c r="E281" s="15">
        <v>3470.79</v>
      </c>
      <c r="F281" s="10">
        <f ca="1">IF(AR_table!$D281&gt;=TODAY(),0,NETWORKDAYS(AR_table!$D281,TODAY()))</f>
        <v>0</v>
      </c>
      <c r="G281" s="10" t="str">
        <f ca="1">VLOOKUP(AR_table!$F281,aging_bucket[#All],2)</f>
        <v>Not due</v>
      </c>
    </row>
    <row r="282" spans="1:7" x14ac:dyDescent="0.3">
      <c r="A282" s="12" t="s">
        <v>272</v>
      </c>
      <c r="B282" s="10" t="s">
        <v>592</v>
      </c>
      <c r="C282" s="14">
        <v>45965</v>
      </c>
      <c r="D282" s="14">
        <f>WORKDAY(AR_table!$C282,$J$1)</f>
        <v>46007</v>
      </c>
      <c r="E282" s="15">
        <v>4991.91</v>
      </c>
      <c r="F282" s="10">
        <f ca="1">IF(AR_table!$D282&gt;=TODAY(),0,NETWORKDAYS(AR_table!$D282,TODAY()))</f>
        <v>42</v>
      </c>
      <c r="G282" s="10" t="str">
        <f ca="1">VLOOKUP(AR_table!$F282,aging_bucket[#All],2)</f>
        <v>31-60</v>
      </c>
    </row>
    <row r="283" spans="1:7" x14ac:dyDescent="0.3">
      <c r="A283" s="25" t="s">
        <v>273</v>
      </c>
      <c r="B283" s="13" t="s">
        <v>595</v>
      </c>
      <c r="C283" s="26">
        <v>45727</v>
      </c>
      <c r="D283" s="26">
        <f>WORKDAY(AR_table!$C283,$J$1)</f>
        <v>45769</v>
      </c>
      <c r="E283" s="27">
        <v>2777.5</v>
      </c>
      <c r="F283" s="10">
        <f ca="1">IF(AR_table!$D283&gt;=TODAY(),0,NETWORKDAYS(AR_table!$D283,TODAY()))</f>
        <v>212</v>
      </c>
      <c r="G283" s="13" t="str">
        <f ca="1">VLOOKUP(AR_table!$F283,aging_bucket[#All],2)</f>
        <v>&gt;90</v>
      </c>
    </row>
    <row r="284" spans="1:7" x14ac:dyDescent="0.3">
      <c r="A284" s="25" t="s">
        <v>274</v>
      </c>
      <c r="B284" s="13" t="s">
        <v>592</v>
      </c>
      <c r="C284" s="26">
        <v>45908</v>
      </c>
      <c r="D284" s="26">
        <f>WORKDAY(AR_table!$C284,$J$1)</f>
        <v>45950</v>
      </c>
      <c r="E284" s="27">
        <v>7106.93</v>
      </c>
      <c r="F284" s="10">
        <f ca="1">IF(AR_table!$D284&gt;=TODAY(),0,NETWORKDAYS(AR_table!$D284,TODAY()))</f>
        <v>83</v>
      </c>
      <c r="G284" s="13" t="str">
        <f ca="1">VLOOKUP(AR_table!$F284,aging_bucket[#All],2)</f>
        <v>61-90</v>
      </c>
    </row>
    <row r="285" spans="1:7" x14ac:dyDescent="0.3">
      <c r="A285" s="12" t="s">
        <v>275</v>
      </c>
      <c r="B285" s="10" t="s">
        <v>591</v>
      </c>
      <c r="C285" s="14">
        <v>45935</v>
      </c>
      <c r="D285" s="14">
        <f>WORKDAY(AR_table!$C285,$J$1)</f>
        <v>45975</v>
      </c>
      <c r="E285" s="15">
        <v>5137.3500000000004</v>
      </c>
      <c r="F285" s="10">
        <f ca="1">IF(AR_table!$D285&gt;=TODAY(),0,NETWORKDAYS(AR_table!$D285,TODAY()))</f>
        <v>64</v>
      </c>
      <c r="G285" s="10" t="str">
        <f ca="1">VLOOKUP(AR_table!$F285,aging_bucket[#All],2)</f>
        <v>61-90</v>
      </c>
    </row>
    <row r="286" spans="1:7" x14ac:dyDescent="0.3">
      <c r="A286" s="12" t="s">
        <v>276</v>
      </c>
      <c r="B286" s="10" t="s">
        <v>595</v>
      </c>
      <c r="C286" s="14">
        <v>45668</v>
      </c>
      <c r="D286" s="14">
        <f>WORKDAY(AR_table!$C286,$J$1)</f>
        <v>45709</v>
      </c>
      <c r="E286" s="15">
        <v>691.52</v>
      </c>
      <c r="F286" s="10">
        <f ca="1">IF(AR_table!$D286&gt;=TODAY(),0,NETWORKDAYS(AR_table!$D286,TODAY()))</f>
        <v>254</v>
      </c>
      <c r="G286" s="10" t="str">
        <f ca="1">VLOOKUP(AR_table!$F286,aging_bucket[#All],2)</f>
        <v>&gt;90</v>
      </c>
    </row>
    <row r="287" spans="1:7" x14ac:dyDescent="0.3">
      <c r="A287" s="25" t="s">
        <v>277</v>
      </c>
      <c r="B287" s="13" t="s">
        <v>592</v>
      </c>
      <c r="C287" s="26">
        <v>45998</v>
      </c>
      <c r="D287" s="26">
        <f>WORKDAY(AR_table!$C287,$J$1)</f>
        <v>46038</v>
      </c>
      <c r="E287" s="27">
        <v>4176.67</v>
      </c>
      <c r="F287" s="10">
        <f ca="1">IF(AR_table!$D287&gt;=TODAY(),0,NETWORKDAYS(AR_table!$D287,TODAY()))</f>
        <v>19</v>
      </c>
      <c r="G287" s="13" t="str">
        <f ca="1">VLOOKUP(AR_table!$F287,aging_bucket[#All],2)</f>
        <v>1-30</v>
      </c>
    </row>
    <row r="288" spans="1:7" x14ac:dyDescent="0.3">
      <c r="A288" s="12" t="s">
        <v>278</v>
      </c>
      <c r="B288" s="10" t="s">
        <v>595</v>
      </c>
      <c r="C288" s="14">
        <v>45804</v>
      </c>
      <c r="D288" s="14">
        <f>WORKDAY(AR_table!$C288,$J$1)</f>
        <v>45846</v>
      </c>
      <c r="E288" s="15">
        <v>1480.05</v>
      </c>
      <c r="F288" s="10">
        <f ca="1">IF(AR_table!$D288&gt;=TODAY(),0,NETWORKDAYS(AR_table!$D288,TODAY()))</f>
        <v>157</v>
      </c>
      <c r="G288" s="10" t="str">
        <f ca="1">VLOOKUP(AR_table!$F288,aging_bucket[#All],2)</f>
        <v>&gt;90</v>
      </c>
    </row>
    <row r="289" spans="1:7" x14ac:dyDescent="0.3">
      <c r="A289" s="25" t="s">
        <v>279</v>
      </c>
      <c r="B289" s="13" t="s">
        <v>592</v>
      </c>
      <c r="C289" s="26">
        <v>46159</v>
      </c>
      <c r="D289" s="26">
        <f>WORKDAY(AR_table!$C289,$J$1)</f>
        <v>46199</v>
      </c>
      <c r="E289" s="27">
        <v>6143.97</v>
      </c>
      <c r="F289" s="10">
        <f ca="1">IF(AR_table!$D289&gt;=TODAY(),0,NETWORKDAYS(AR_table!$D289,TODAY()))</f>
        <v>0</v>
      </c>
      <c r="G289" s="13" t="str">
        <f ca="1">VLOOKUP(AR_table!$F289,aging_bucket[#All],2)</f>
        <v>Not due</v>
      </c>
    </row>
    <row r="290" spans="1:7" x14ac:dyDescent="0.3">
      <c r="A290" s="12" t="s">
        <v>280</v>
      </c>
      <c r="B290" s="10" t="s">
        <v>594</v>
      </c>
      <c r="C290" s="14">
        <v>45694</v>
      </c>
      <c r="D290" s="14">
        <f>WORKDAY(AR_table!$C290,$J$1)</f>
        <v>45736</v>
      </c>
      <c r="E290" s="15">
        <v>6797.28</v>
      </c>
      <c r="F290" s="10">
        <f ca="1">IF(AR_table!$D290&gt;=TODAY(),0,NETWORKDAYS(AR_table!$D290,TODAY()))</f>
        <v>235</v>
      </c>
      <c r="G290" s="10" t="str">
        <f ca="1">VLOOKUP(AR_table!$F290,aging_bucket[#All],2)</f>
        <v>&gt;90</v>
      </c>
    </row>
    <row r="291" spans="1:7" x14ac:dyDescent="0.3">
      <c r="A291" s="25" t="s">
        <v>281</v>
      </c>
      <c r="B291" s="13" t="s">
        <v>595</v>
      </c>
      <c r="C291" s="26">
        <v>45737</v>
      </c>
      <c r="D291" s="26">
        <f>WORKDAY(AR_table!$C291,$J$1)</f>
        <v>45779</v>
      </c>
      <c r="E291" s="27">
        <v>7109.3</v>
      </c>
      <c r="F291" s="10">
        <f ca="1">IF(AR_table!$D291&gt;=TODAY(),0,NETWORKDAYS(AR_table!$D291,TODAY()))</f>
        <v>204</v>
      </c>
      <c r="G291" s="13" t="str">
        <f ca="1">VLOOKUP(AR_table!$F291,aging_bucket[#All],2)</f>
        <v>&gt;90</v>
      </c>
    </row>
    <row r="292" spans="1:7" x14ac:dyDescent="0.3">
      <c r="A292" s="12" t="s">
        <v>282</v>
      </c>
      <c r="B292" s="10" t="s">
        <v>595</v>
      </c>
      <c r="C292" s="14">
        <v>45824</v>
      </c>
      <c r="D292" s="14">
        <f>WORKDAY(AR_table!$C292,$J$1)</f>
        <v>45866</v>
      </c>
      <c r="E292" s="15">
        <v>783.4</v>
      </c>
      <c r="F292" s="10">
        <f ca="1">IF(AR_table!$D292&gt;=TODAY(),0,NETWORKDAYS(AR_table!$D292,TODAY()))</f>
        <v>143</v>
      </c>
      <c r="G292" s="10" t="str">
        <f ca="1">VLOOKUP(AR_table!$F292,aging_bucket[#All],2)</f>
        <v>&gt;90</v>
      </c>
    </row>
    <row r="293" spans="1:7" x14ac:dyDescent="0.3">
      <c r="A293" s="25" t="s">
        <v>283</v>
      </c>
      <c r="B293" s="13" t="s">
        <v>592</v>
      </c>
      <c r="C293" s="26">
        <v>46040</v>
      </c>
      <c r="D293" s="26">
        <f>WORKDAY(AR_table!$C293,$J$1)</f>
        <v>46080</v>
      </c>
      <c r="E293" s="27">
        <v>807.05</v>
      </c>
      <c r="F293" s="10">
        <f ca="1">IF(AR_table!$D293&gt;=TODAY(),0,NETWORKDAYS(AR_table!$D293,TODAY()))</f>
        <v>0</v>
      </c>
      <c r="G293" s="13" t="str">
        <f ca="1">VLOOKUP(AR_table!$F293,aging_bucket[#All],2)</f>
        <v>Not due</v>
      </c>
    </row>
    <row r="294" spans="1:7" x14ac:dyDescent="0.3">
      <c r="A294" s="25" t="s">
        <v>284</v>
      </c>
      <c r="B294" s="13" t="s">
        <v>593</v>
      </c>
      <c r="C294" s="26">
        <v>45758</v>
      </c>
      <c r="D294" s="26">
        <f>WORKDAY(AR_table!$C294,$J$1)</f>
        <v>45800</v>
      </c>
      <c r="E294" s="27">
        <v>7018.75</v>
      </c>
      <c r="F294" s="10">
        <f ca="1">IF(AR_table!$D294&gt;=TODAY(),0,NETWORKDAYS(AR_table!$D294,TODAY()))</f>
        <v>189</v>
      </c>
      <c r="G294" s="13" t="str">
        <f ca="1">VLOOKUP(AR_table!$F294,aging_bucket[#All],2)</f>
        <v>&gt;90</v>
      </c>
    </row>
    <row r="295" spans="1:7" x14ac:dyDescent="0.3">
      <c r="A295" s="25" t="s">
        <v>285</v>
      </c>
      <c r="B295" s="13" t="s">
        <v>591</v>
      </c>
      <c r="C295" s="26">
        <v>46157</v>
      </c>
      <c r="D295" s="26">
        <f>WORKDAY(AR_table!$C295,$J$1)</f>
        <v>46199</v>
      </c>
      <c r="E295" s="27">
        <v>2303.2399999999998</v>
      </c>
      <c r="F295" s="10">
        <f ca="1">IF(AR_table!$D295&gt;=TODAY(),0,NETWORKDAYS(AR_table!$D295,TODAY()))</f>
        <v>0</v>
      </c>
      <c r="G295" s="13" t="str">
        <f ca="1">VLOOKUP(AR_table!$F295,aging_bucket[#All],2)</f>
        <v>Not due</v>
      </c>
    </row>
    <row r="296" spans="1:7" x14ac:dyDescent="0.3">
      <c r="A296" s="12" t="s">
        <v>286</v>
      </c>
      <c r="B296" s="10" t="s">
        <v>591</v>
      </c>
      <c r="C296" s="14">
        <v>45930</v>
      </c>
      <c r="D296" s="14">
        <f>WORKDAY(AR_table!$C296,$J$1)</f>
        <v>45972</v>
      </c>
      <c r="E296" s="15">
        <v>2906.05</v>
      </c>
      <c r="F296" s="10">
        <f ca="1">IF(AR_table!$D296&gt;=TODAY(),0,NETWORKDAYS(AR_table!$D296,TODAY()))</f>
        <v>67</v>
      </c>
      <c r="G296" s="10" t="str">
        <f ca="1">VLOOKUP(AR_table!$F296,aging_bucket[#All],2)</f>
        <v>61-90</v>
      </c>
    </row>
    <row r="297" spans="1:7" x14ac:dyDescent="0.3">
      <c r="A297" s="12" t="s">
        <v>287</v>
      </c>
      <c r="B297" s="10" t="s">
        <v>594</v>
      </c>
      <c r="C297" s="14">
        <v>46021</v>
      </c>
      <c r="D297" s="14">
        <f>WORKDAY(AR_table!$C297,$J$1)</f>
        <v>46063</v>
      </c>
      <c r="E297" s="15">
        <v>4561.8999999999996</v>
      </c>
      <c r="F297" s="10">
        <f ca="1">IF(AR_table!$D297&gt;=TODAY(),0,NETWORKDAYS(AR_table!$D297,TODAY()))</f>
        <v>2</v>
      </c>
      <c r="G297" s="10" t="str">
        <f ca="1">VLOOKUP(AR_table!$F297,aging_bucket[#All],2)</f>
        <v>1-30</v>
      </c>
    </row>
    <row r="298" spans="1:7" x14ac:dyDescent="0.3">
      <c r="A298" s="25" t="s">
        <v>288</v>
      </c>
      <c r="B298" s="13" t="s">
        <v>591</v>
      </c>
      <c r="C298" s="26">
        <v>45792</v>
      </c>
      <c r="D298" s="26">
        <f>WORKDAY(AR_table!$C298,$J$1)</f>
        <v>45834</v>
      </c>
      <c r="E298" s="27">
        <v>6920.67</v>
      </c>
      <c r="F298" s="10">
        <f ca="1">IF(AR_table!$D298&gt;=TODAY(),0,NETWORKDAYS(AR_table!$D298,TODAY()))</f>
        <v>165</v>
      </c>
      <c r="G298" s="13" t="str">
        <f ca="1">VLOOKUP(AR_table!$F298,aging_bucket[#All],2)</f>
        <v>&gt;90</v>
      </c>
    </row>
    <row r="299" spans="1:7" x14ac:dyDescent="0.3">
      <c r="A299" s="12" t="s">
        <v>289</v>
      </c>
      <c r="B299" s="10" t="s">
        <v>594</v>
      </c>
      <c r="C299" s="14">
        <v>45813</v>
      </c>
      <c r="D299" s="14">
        <f>WORKDAY(AR_table!$C299,$J$1)</f>
        <v>45855</v>
      </c>
      <c r="E299" s="15">
        <v>1154.44</v>
      </c>
      <c r="F299" s="10">
        <f ca="1">IF(AR_table!$D299&gt;=TODAY(),0,NETWORKDAYS(AR_table!$D299,TODAY()))</f>
        <v>150</v>
      </c>
      <c r="G299" s="10" t="str">
        <f ca="1">VLOOKUP(AR_table!$F299,aging_bucket[#All],2)</f>
        <v>&gt;90</v>
      </c>
    </row>
    <row r="300" spans="1:7" x14ac:dyDescent="0.3">
      <c r="A300" s="12" t="s">
        <v>290</v>
      </c>
      <c r="B300" s="10" t="s">
        <v>595</v>
      </c>
      <c r="C300" s="14">
        <v>45925</v>
      </c>
      <c r="D300" s="14">
        <f>WORKDAY(AR_table!$C300,$J$1)</f>
        <v>45967</v>
      </c>
      <c r="E300" s="15">
        <v>2374.91</v>
      </c>
      <c r="F300" s="10">
        <f ca="1">IF(AR_table!$D300&gt;=TODAY(),0,NETWORKDAYS(AR_table!$D300,TODAY()))</f>
        <v>70</v>
      </c>
      <c r="G300" s="10" t="str">
        <f ca="1">VLOOKUP(AR_table!$F300,aging_bucket[#All],2)</f>
        <v>61-90</v>
      </c>
    </row>
    <row r="301" spans="1:7" x14ac:dyDescent="0.3">
      <c r="A301" s="25" t="s">
        <v>291</v>
      </c>
      <c r="B301" s="13" t="s">
        <v>591</v>
      </c>
      <c r="C301" s="26">
        <v>45908</v>
      </c>
      <c r="D301" s="26">
        <f>WORKDAY(AR_table!$C301,$J$1)</f>
        <v>45950</v>
      </c>
      <c r="E301" s="27">
        <v>2984.83</v>
      </c>
      <c r="F301" s="10">
        <f ca="1">IF(AR_table!$D301&gt;=TODAY(),0,NETWORKDAYS(AR_table!$D301,TODAY()))</f>
        <v>83</v>
      </c>
      <c r="G301" s="13" t="str">
        <f ca="1">VLOOKUP(AR_table!$F301,aging_bucket[#All],2)</f>
        <v>61-90</v>
      </c>
    </row>
    <row r="302" spans="1:7" x14ac:dyDescent="0.3">
      <c r="A302" s="12" t="s">
        <v>292</v>
      </c>
      <c r="B302" s="10" t="s">
        <v>593</v>
      </c>
      <c r="C302" s="14">
        <v>45736</v>
      </c>
      <c r="D302" s="14">
        <f>WORKDAY(AR_table!$C302,$J$1)</f>
        <v>45778</v>
      </c>
      <c r="E302" s="15">
        <v>5377.36</v>
      </c>
      <c r="F302" s="10">
        <f ca="1">IF(AR_table!$D302&gt;=TODAY(),0,NETWORKDAYS(AR_table!$D302,TODAY()))</f>
        <v>205</v>
      </c>
      <c r="G302" s="10" t="str">
        <f ca="1">VLOOKUP(AR_table!$F302,aging_bucket[#All],2)</f>
        <v>&gt;90</v>
      </c>
    </row>
    <row r="303" spans="1:7" x14ac:dyDescent="0.3">
      <c r="A303" s="25" t="s">
        <v>293</v>
      </c>
      <c r="B303" s="13" t="s">
        <v>593</v>
      </c>
      <c r="C303" s="26">
        <v>45933</v>
      </c>
      <c r="D303" s="26">
        <f>WORKDAY(AR_table!$C303,$J$1)</f>
        <v>45975</v>
      </c>
      <c r="E303" s="27">
        <v>4366.74</v>
      </c>
      <c r="F303" s="10">
        <f ca="1">IF(AR_table!$D303&gt;=TODAY(),0,NETWORKDAYS(AR_table!$D303,TODAY()))</f>
        <v>64</v>
      </c>
      <c r="G303" s="13" t="str">
        <f ca="1">VLOOKUP(AR_table!$F303,aging_bucket[#All],2)</f>
        <v>61-90</v>
      </c>
    </row>
    <row r="304" spans="1:7" x14ac:dyDescent="0.3">
      <c r="A304" s="12" t="s">
        <v>294</v>
      </c>
      <c r="B304" s="10" t="s">
        <v>593</v>
      </c>
      <c r="C304" s="14">
        <v>45688</v>
      </c>
      <c r="D304" s="14">
        <f>WORKDAY(AR_table!$C304,$J$1)</f>
        <v>45730</v>
      </c>
      <c r="E304" s="15">
        <v>2198.7600000000002</v>
      </c>
      <c r="F304" s="10">
        <f ca="1">IF(AR_table!$D304&gt;=TODAY(),0,NETWORKDAYS(AR_table!$D304,TODAY()))</f>
        <v>239</v>
      </c>
      <c r="G304" s="10" t="str">
        <f ca="1">VLOOKUP(AR_table!$F304,aging_bucket[#All],2)</f>
        <v>&gt;90</v>
      </c>
    </row>
    <row r="305" spans="1:7" x14ac:dyDescent="0.3">
      <c r="A305" s="25" t="s">
        <v>295</v>
      </c>
      <c r="B305" s="13" t="s">
        <v>591</v>
      </c>
      <c r="C305" s="26">
        <v>45842</v>
      </c>
      <c r="D305" s="26">
        <f>WORKDAY(AR_table!$C305,$J$1)</f>
        <v>45884</v>
      </c>
      <c r="E305" s="27">
        <v>2079.5700000000002</v>
      </c>
      <c r="F305" s="10">
        <f ca="1">IF(AR_table!$D305&gt;=TODAY(),0,NETWORKDAYS(AR_table!$D305,TODAY()))</f>
        <v>129</v>
      </c>
      <c r="G305" s="13" t="str">
        <f ca="1">VLOOKUP(AR_table!$F305,aging_bucket[#All],2)</f>
        <v>&gt;90</v>
      </c>
    </row>
    <row r="306" spans="1:7" x14ac:dyDescent="0.3">
      <c r="A306" s="12" t="s">
        <v>296</v>
      </c>
      <c r="B306" s="10" t="s">
        <v>595</v>
      </c>
      <c r="C306" s="14">
        <v>45760</v>
      </c>
      <c r="D306" s="14">
        <f>WORKDAY(AR_table!$C306,$J$1)</f>
        <v>45800</v>
      </c>
      <c r="E306" s="15">
        <v>6720.98</v>
      </c>
      <c r="F306" s="10">
        <f ca="1">IF(AR_table!$D306&gt;=TODAY(),0,NETWORKDAYS(AR_table!$D306,TODAY()))</f>
        <v>189</v>
      </c>
      <c r="G306" s="10" t="str">
        <f ca="1">VLOOKUP(AR_table!$F306,aging_bucket[#All],2)</f>
        <v>&gt;90</v>
      </c>
    </row>
    <row r="307" spans="1:7" x14ac:dyDescent="0.3">
      <c r="A307" s="25" t="s">
        <v>297</v>
      </c>
      <c r="B307" s="13" t="s">
        <v>593</v>
      </c>
      <c r="C307" s="26">
        <v>45882</v>
      </c>
      <c r="D307" s="26">
        <f>WORKDAY(AR_table!$C307,$J$1)</f>
        <v>45924</v>
      </c>
      <c r="E307" s="27">
        <v>1057.5899999999999</v>
      </c>
      <c r="F307" s="10">
        <f ca="1">IF(AR_table!$D307&gt;=TODAY(),0,NETWORKDAYS(AR_table!$D307,TODAY()))</f>
        <v>101</v>
      </c>
      <c r="G307" s="13" t="str">
        <f ca="1">VLOOKUP(AR_table!$F307,aging_bucket[#All],2)</f>
        <v>&gt;90</v>
      </c>
    </row>
    <row r="308" spans="1:7" x14ac:dyDescent="0.3">
      <c r="A308" s="25" t="s">
        <v>298</v>
      </c>
      <c r="B308" s="13" t="s">
        <v>592</v>
      </c>
      <c r="C308" s="26">
        <v>45851</v>
      </c>
      <c r="D308" s="26">
        <f>WORKDAY(AR_table!$C308,$J$1)</f>
        <v>45891</v>
      </c>
      <c r="E308" s="27">
        <v>5123.8599999999997</v>
      </c>
      <c r="F308" s="10">
        <f ca="1">IF(AR_table!$D308&gt;=TODAY(),0,NETWORKDAYS(AR_table!$D308,TODAY()))</f>
        <v>124</v>
      </c>
      <c r="G308" s="13" t="str">
        <f ca="1">VLOOKUP(AR_table!$F308,aging_bucket[#All],2)</f>
        <v>&gt;90</v>
      </c>
    </row>
    <row r="309" spans="1:7" x14ac:dyDescent="0.3">
      <c r="A309" s="12" t="s">
        <v>299</v>
      </c>
      <c r="B309" s="10" t="s">
        <v>591</v>
      </c>
      <c r="C309" s="14">
        <v>45664</v>
      </c>
      <c r="D309" s="14">
        <f>WORKDAY(AR_table!$C309,$J$1)</f>
        <v>45706</v>
      </c>
      <c r="E309" s="15">
        <v>6519.59</v>
      </c>
      <c r="F309" s="10">
        <f ca="1">IF(AR_table!$D309&gt;=TODAY(),0,NETWORKDAYS(AR_table!$D309,TODAY()))</f>
        <v>257</v>
      </c>
      <c r="G309" s="10" t="str">
        <f ca="1">VLOOKUP(AR_table!$F309,aging_bucket[#All],2)</f>
        <v>&gt;90</v>
      </c>
    </row>
    <row r="310" spans="1:7" x14ac:dyDescent="0.3">
      <c r="A310" s="12" t="s">
        <v>300</v>
      </c>
      <c r="B310" s="10" t="s">
        <v>595</v>
      </c>
      <c r="C310" s="14">
        <v>45768</v>
      </c>
      <c r="D310" s="14">
        <f>WORKDAY(AR_table!$C310,$J$1)</f>
        <v>45810</v>
      </c>
      <c r="E310" s="15">
        <v>1797.3</v>
      </c>
      <c r="F310" s="10">
        <f ca="1">IF(AR_table!$D310&gt;=TODAY(),0,NETWORKDAYS(AR_table!$D310,TODAY()))</f>
        <v>183</v>
      </c>
      <c r="G310" s="10" t="str">
        <f ca="1">VLOOKUP(AR_table!$F310,aging_bucket[#All],2)</f>
        <v>&gt;90</v>
      </c>
    </row>
    <row r="311" spans="1:7" x14ac:dyDescent="0.3">
      <c r="A311" s="25" t="s">
        <v>301</v>
      </c>
      <c r="B311" s="13" t="s">
        <v>595</v>
      </c>
      <c r="C311" s="26">
        <v>45767</v>
      </c>
      <c r="D311" s="26">
        <f>WORKDAY(AR_table!$C311,$J$1)</f>
        <v>45807</v>
      </c>
      <c r="E311" s="27">
        <v>1445.51</v>
      </c>
      <c r="F311" s="10">
        <f ca="1">IF(AR_table!$D311&gt;=TODAY(),0,NETWORKDAYS(AR_table!$D311,TODAY()))</f>
        <v>184</v>
      </c>
      <c r="G311" s="13" t="str">
        <f ca="1">VLOOKUP(AR_table!$F311,aging_bucket[#All],2)</f>
        <v>&gt;90</v>
      </c>
    </row>
    <row r="312" spans="1:7" x14ac:dyDescent="0.3">
      <c r="A312" s="12" t="s">
        <v>302</v>
      </c>
      <c r="B312" s="10" t="s">
        <v>595</v>
      </c>
      <c r="C312" s="14">
        <v>46088</v>
      </c>
      <c r="D312" s="14">
        <f>WORKDAY(AR_table!$C312,$J$1)</f>
        <v>46129</v>
      </c>
      <c r="E312" s="15">
        <v>5287.65</v>
      </c>
      <c r="F312" s="10">
        <f ca="1">IF(AR_table!$D312&gt;=TODAY(),0,NETWORKDAYS(AR_table!$D312,TODAY()))</f>
        <v>0</v>
      </c>
      <c r="G312" s="10" t="str">
        <f ca="1">VLOOKUP(AR_table!$F312,aging_bucket[#All],2)</f>
        <v>Not due</v>
      </c>
    </row>
    <row r="313" spans="1:7" x14ac:dyDescent="0.3">
      <c r="A313" s="25" t="s">
        <v>303</v>
      </c>
      <c r="B313" s="13" t="s">
        <v>592</v>
      </c>
      <c r="C313" s="26">
        <v>45708</v>
      </c>
      <c r="D313" s="26">
        <f>WORKDAY(AR_table!$C313,$J$1)</f>
        <v>45750</v>
      </c>
      <c r="E313" s="27">
        <v>6849.97</v>
      </c>
      <c r="F313" s="10">
        <f ca="1">IF(AR_table!$D313&gt;=TODAY(),0,NETWORKDAYS(AR_table!$D313,TODAY()))</f>
        <v>225</v>
      </c>
      <c r="G313" s="13" t="str">
        <f ca="1">VLOOKUP(AR_table!$F313,aging_bucket[#All],2)</f>
        <v>&gt;90</v>
      </c>
    </row>
    <row r="314" spans="1:7" x14ac:dyDescent="0.3">
      <c r="A314" s="12" t="s">
        <v>304</v>
      </c>
      <c r="B314" s="10" t="s">
        <v>592</v>
      </c>
      <c r="C314" s="14">
        <v>45690</v>
      </c>
      <c r="D314" s="14">
        <f>WORKDAY(AR_table!$C314,$J$1)</f>
        <v>45730</v>
      </c>
      <c r="E314" s="15">
        <v>3057.81</v>
      </c>
      <c r="F314" s="10">
        <f ca="1">IF(AR_table!$D314&gt;=TODAY(),0,NETWORKDAYS(AR_table!$D314,TODAY()))</f>
        <v>239</v>
      </c>
      <c r="G314" s="10" t="str">
        <f ca="1">VLOOKUP(AR_table!$F314,aging_bucket[#All],2)</f>
        <v>&gt;90</v>
      </c>
    </row>
    <row r="315" spans="1:7" x14ac:dyDescent="0.3">
      <c r="A315" s="25" t="s">
        <v>305</v>
      </c>
      <c r="B315" s="13" t="s">
        <v>593</v>
      </c>
      <c r="C315" s="26">
        <v>45829</v>
      </c>
      <c r="D315" s="26">
        <f>WORKDAY(AR_table!$C315,$J$1)</f>
        <v>45870</v>
      </c>
      <c r="E315" s="27">
        <v>5406.93</v>
      </c>
      <c r="F315" s="10">
        <f ca="1">IF(AR_table!$D315&gt;=TODAY(),0,NETWORKDAYS(AR_table!$D315,TODAY()))</f>
        <v>139</v>
      </c>
      <c r="G315" s="13" t="str">
        <f ca="1">VLOOKUP(AR_table!$F315,aging_bucket[#All],2)</f>
        <v>&gt;90</v>
      </c>
    </row>
    <row r="316" spans="1:7" x14ac:dyDescent="0.3">
      <c r="A316" s="12" t="s">
        <v>306</v>
      </c>
      <c r="B316" s="10" t="s">
        <v>591</v>
      </c>
      <c r="C316" s="14">
        <v>45982</v>
      </c>
      <c r="D316" s="14">
        <f>WORKDAY(AR_table!$C316,$J$1)</f>
        <v>46024</v>
      </c>
      <c r="E316" s="15">
        <v>6854.97</v>
      </c>
      <c r="F316" s="10">
        <f ca="1">IF(AR_table!$D316&gt;=TODAY(),0,NETWORKDAYS(AR_table!$D316,TODAY()))</f>
        <v>29</v>
      </c>
      <c r="G316" s="10" t="str">
        <f ca="1">VLOOKUP(AR_table!$F316,aging_bucket[#All],2)</f>
        <v>1-30</v>
      </c>
    </row>
    <row r="317" spans="1:7" x14ac:dyDescent="0.3">
      <c r="A317" s="12" t="s">
        <v>307</v>
      </c>
      <c r="B317" s="10" t="s">
        <v>595</v>
      </c>
      <c r="C317" s="14">
        <v>45756</v>
      </c>
      <c r="D317" s="14">
        <f>WORKDAY(AR_table!$C317,$J$1)</f>
        <v>45798</v>
      </c>
      <c r="E317" s="15">
        <v>2494.5300000000002</v>
      </c>
      <c r="F317" s="10">
        <f ca="1">IF(AR_table!$D317&gt;=TODAY(),0,NETWORKDAYS(AR_table!$D317,TODAY()))</f>
        <v>191</v>
      </c>
      <c r="G317" s="10" t="str">
        <f ca="1">VLOOKUP(AR_table!$F317,aging_bucket[#All],2)</f>
        <v>&gt;90</v>
      </c>
    </row>
    <row r="318" spans="1:7" x14ac:dyDescent="0.3">
      <c r="A318" s="25" t="s">
        <v>308</v>
      </c>
      <c r="B318" s="13" t="s">
        <v>591</v>
      </c>
      <c r="C318" s="26">
        <v>45759</v>
      </c>
      <c r="D318" s="26">
        <f>WORKDAY(AR_table!$C318,$J$1)</f>
        <v>45800</v>
      </c>
      <c r="E318" s="27">
        <v>3610.15</v>
      </c>
      <c r="F318" s="10">
        <f ca="1">IF(AR_table!$D318&gt;=TODAY(),0,NETWORKDAYS(AR_table!$D318,TODAY()))</f>
        <v>189</v>
      </c>
      <c r="G318" s="13" t="str">
        <f ca="1">VLOOKUP(AR_table!$F318,aging_bucket[#All],2)</f>
        <v>&gt;90</v>
      </c>
    </row>
    <row r="319" spans="1:7" x14ac:dyDescent="0.3">
      <c r="A319" s="25" t="s">
        <v>309</v>
      </c>
      <c r="B319" s="13" t="s">
        <v>594</v>
      </c>
      <c r="C319" s="26">
        <v>45736</v>
      </c>
      <c r="D319" s="26">
        <f>WORKDAY(AR_table!$C319,$J$1)</f>
        <v>45778</v>
      </c>
      <c r="E319" s="27">
        <v>2866.83</v>
      </c>
      <c r="F319" s="10">
        <f ca="1">IF(AR_table!$D319&gt;=TODAY(),0,NETWORKDAYS(AR_table!$D319,TODAY()))</f>
        <v>205</v>
      </c>
      <c r="G319" s="13" t="str">
        <f ca="1">VLOOKUP(AR_table!$F319,aging_bucket[#All],2)</f>
        <v>&gt;90</v>
      </c>
    </row>
    <row r="320" spans="1:7" x14ac:dyDescent="0.3">
      <c r="A320" s="12" t="s">
        <v>310</v>
      </c>
      <c r="B320" s="10" t="s">
        <v>595</v>
      </c>
      <c r="C320" s="14">
        <v>45975</v>
      </c>
      <c r="D320" s="14">
        <f>WORKDAY(AR_table!$C320,$J$1)</f>
        <v>46017</v>
      </c>
      <c r="E320" s="15">
        <v>6939.15</v>
      </c>
      <c r="F320" s="10">
        <f ca="1">IF(AR_table!$D320&gt;=TODAY(),0,NETWORKDAYS(AR_table!$D320,TODAY()))</f>
        <v>34</v>
      </c>
      <c r="G320" s="10" t="str">
        <f ca="1">VLOOKUP(AR_table!$F320,aging_bucket[#All],2)</f>
        <v>31-60</v>
      </c>
    </row>
    <row r="321" spans="1:7" x14ac:dyDescent="0.3">
      <c r="A321" s="25" t="s">
        <v>311</v>
      </c>
      <c r="B321" s="13" t="s">
        <v>594</v>
      </c>
      <c r="C321" s="26">
        <v>45694</v>
      </c>
      <c r="D321" s="26">
        <f>WORKDAY(AR_table!$C321,$J$1)</f>
        <v>45736</v>
      </c>
      <c r="E321" s="27">
        <v>2509.56</v>
      </c>
      <c r="F321" s="10">
        <f ca="1">IF(AR_table!$D321&gt;=TODAY(),0,NETWORKDAYS(AR_table!$D321,TODAY()))</f>
        <v>235</v>
      </c>
      <c r="G321" s="13" t="str">
        <f ca="1">VLOOKUP(AR_table!$F321,aging_bucket[#All],2)</f>
        <v>&gt;90</v>
      </c>
    </row>
    <row r="322" spans="1:7" x14ac:dyDescent="0.3">
      <c r="A322" s="25" t="s">
        <v>312</v>
      </c>
      <c r="B322" s="13" t="s">
        <v>595</v>
      </c>
      <c r="C322" s="26">
        <v>45795</v>
      </c>
      <c r="D322" s="26">
        <f>WORKDAY(AR_table!$C322,$J$1)</f>
        <v>45835</v>
      </c>
      <c r="E322" s="27">
        <v>1370.41</v>
      </c>
      <c r="F322" s="10">
        <f ca="1">IF(AR_table!$D322&gt;=TODAY(),0,NETWORKDAYS(AR_table!$D322,TODAY()))</f>
        <v>164</v>
      </c>
      <c r="G322" s="13" t="str">
        <f ca="1">VLOOKUP(AR_table!$F322,aging_bucket[#All],2)</f>
        <v>&gt;90</v>
      </c>
    </row>
    <row r="323" spans="1:7" x14ac:dyDescent="0.3">
      <c r="A323" s="12" t="s">
        <v>313</v>
      </c>
      <c r="B323" s="10" t="s">
        <v>591</v>
      </c>
      <c r="C323" s="14">
        <v>46072</v>
      </c>
      <c r="D323" s="14">
        <f>WORKDAY(AR_table!$C323,$J$1)</f>
        <v>46114</v>
      </c>
      <c r="E323" s="15">
        <v>4623.54</v>
      </c>
      <c r="F323" s="10">
        <f ca="1">IF(AR_table!$D323&gt;=TODAY(),0,NETWORKDAYS(AR_table!$D323,TODAY()))</f>
        <v>0</v>
      </c>
      <c r="G323" s="10" t="str">
        <f ca="1">VLOOKUP(AR_table!$F323,aging_bucket[#All],2)</f>
        <v>Not due</v>
      </c>
    </row>
    <row r="324" spans="1:7" x14ac:dyDescent="0.3">
      <c r="A324" s="25" t="s">
        <v>314</v>
      </c>
      <c r="B324" s="13" t="s">
        <v>595</v>
      </c>
      <c r="C324" s="26">
        <v>45873</v>
      </c>
      <c r="D324" s="26">
        <f>WORKDAY(AR_table!$C324,$J$1)</f>
        <v>45915</v>
      </c>
      <c r="E324" s="27">
        <v>5313.37</v>
      </c>
      <c r="F324" s="10">
        <f ca="1">IF(AR_table!$D324&gt;=TODAY(),0,NETWORKDAYS(AR_table!$D324,TODAY()))</f>
        <v>108</v>
      </c>
      <c r="G324" s="13" t="str">
        <f ca="1">VLOOKUP(AR_table!$F324,aging_bucket[#All],2)</f>
        <v>&gt;90</v>
      </c>
    </row>
    <row r="325" spans="1:7" x14ac:dyDescent="0.3">
      <c r="A325" s="25" t="s">
        <v>315</v>
      </c>
      <c r="B325" s="13" t="s">
        <v>593</v>
      </c>
      <c r="C325" s="26">
        <v>45963</v>
      </c>
      <c r="D325" s="26">
        <f>WORKDAY(AR_table!$C325,$J$1)</f>
        <v>46003</v>
      </c>
      <c r="E325" s="27">
        <v>6434.44</v>
      </c>
      <c r="F325" s="10">
        <f ca="1">IF(AR_table!$D325&gt;=TODAY(),0,NETWORKDAYS(AR_table!$D325,TODAY()))</f>
        <v>44</v>
      </c>
      <c r="G325" s="13" t="str">
        <f ca="1">VLOOKUP(AR_table!$F325,aging_bucket[#All],2)</f>
        <v>31-60</v>
      </c>
    </row>
    <row r="326" spans="1:7" x14ac:dyDescent="0.3">
      <c r="A326" s="12" t="s">
        <v>316</v>
      </c>
      <c r="B326" s="10" t="s">
        <v>593</v>
      </c>
      <c r="C326" s="14">
        <v>45822</v>
      </c>
      <c r="D326" s="14">
        <f>WORKDAY(AR_table!$C326,$J$1)</f>
        <v>45863</v>
      </c>
      <c r="E326" s="15">
        <v>2742.6</v>
      </c>
      <c r="F326" s="10">
        <f ca="1">IF(AR_table!$D326&gt;=TODAY(),0,NETWORKDAYS(AR_table!$D326,TODAY()))</f>
        <v>144</v>
      </c>
      <c r="G326" s="10" t="str">
        <f ca="1">VLOOKUP(AR_table!$F326,aging_bucket[#All],2)</f>
        <v>&gt;90</v>
      </c>
    </row>
    <row r="327" spans="1:7" x14ac:dyDescent="0.3">
      <c r="A327" s="25" t="s">
        <v>317</v>
      </c>
      <c r="B327" s="13" t="s">
        <v>595</v>
      </c>
      <c r="C327" s="26">
        <v>45965</v>
      </c>
      <c r="D327" s="26">
        <f>WORKDAY(AR_table!$C327,$J$1)</f>
        <v>46007</v>
      </c>
      <c r="E327" s="27">
        <v>2495.48</v>
      </c>
      <c r="F327" s="10">
        <f ca="1">IF(AR_table!$D327&gt;=TODAY(),0,NETWORKDAYS(AR_table!$D327,TODAY()))</f>
        <v>42</v>
      </c>
      <c r="G327" s="13" t="str">
        <f ca="1">VLOOKUP(AR_table!$F327,aging_bucket[#All],2)</f>
        <v>31-60</v>
      </c>
    </row>
    <row r="328" spans="1:7" x14ac:dyDescent="0.3">
      <c r="A328" s="25" t="s">
        <v>318</v>
      </c>
      <c r="B328" s="13" t="s">
        <v>592</v>
      </c>
      <c r="C328" s="26">
        <v>45760</v>
      </c>
      <c r="D328" s="26">
        <f>WORKDAY(AR_table!$C328,$J$1)</f>
        <v>45800</v>
      </c>
      <c r="E328" s="27">
        <v>2137.89</v>
      </c>
      <c r="F328" s="10">
        <f ca="1">IF(AR_table!$D328&gt;=TODAY(),0,NETWORKDAYS(AR_table!$D328,TODAY()))</f>
        <v>189</v>
      </c>
      <c r="G328" s="13" t="str">
        <f ca="1">VLOOKUP(AR_table!$F328,aging_bucket[#All],2)</f>
        <v>&gt;90</v>
      </c>
    </row>
    <row r="329" spans="1:7" x14ac:dyDescent="0.3">
      <c r="A329" s="12" t="s">
        <v>319</v>
      </c>
      <c r="B329" s="10" t="s">
        <v>594</v>
      </c>
      <c r="C329" s="14">
        <v>45664</v>
      </c>
      <c r="D329" s="14">
        <f>WORKDAY(AR_table!$C329,$J$1)</f>
        <v>45706</v>
      </c>
      <c r="E329" s="15">
        <v>6435.43</v>
      </c>
      <c r="F329" s="10">
        <f ca="1">IF(AR_table!$D329&gt;=TODAY(),0,NETWORKDAYS(AR_table!$D329,TODAY()))</f>
        <v>257</v>
      </c>
      <c r="G329" s="10" t="str">
        <f ca="1">VLOOKUP(AR_table!$F329,aging_bucket[#All],2)</f>
        <v>&gt;90</v>
      </c>
    </row>
    <row r="330" spans="1:7" x14ac:dyDescent="0.3">
      <c r="A330" s="25" t="s">
        <v>320</v>
      </c>
      <c r="B330" s="13" t="s">
        <v>592</v>
      </c>
      <c r="C330" s="26">
        <v>45925</v>
      </c>
      <c r="D330" s="26">
        <f>WORKDAY(AR_table!$C330,$J$1)</f>
        <v>45967</v>
      </c>
      <c r="E330" s="27">
        <v>1273.69</v>
      </c>
      <c r="F330" s="10">
        <f ca="1">IF(AR_table!$D330&gt;=TODAY(),0,NETWORKDAYS(AR_table!$D330,TODAY()))</f>
        <v>70</v>
      </c>
      <c r="G330" s="13" t="str">
        <f ca="1">VLOOKUP(AR_table!$F330,aging_bucket[#All],2)</f>
        <v>61-90</v>
      </c>
    </row>
    <row r="331" spans="1:7" x14ac:dyDescent="0.3">
      <c r="A331" s="12" t="s">
        <v>321</v>
      </c>
      <c r="B331" s="10" t="s">
        <v>591</v>
      </c>
      <c r="C331" s="14">
        <v>46148</v>
      </c>
      <c r="D331" s="14">
        <f>WORKDAY(AR_table!$C331,$J$1)</f>
        <v>46190</v>
      </c>
      <c r="E331" s="15">
        <v>5055.62</v>
      </c>
      <c r="F331" s="10">
        <f ca="1">IF(AR_table!$D331&gt;=TODAY(),0,NETWORKDAYS(AR_table!$D331,TODAY()))</f>
        <v>0</v>
      </c>
      <c r="G331" s="10" t="str">
        <f ca="1">VLOOKUP(AR_table!$F331,aging_bucket[#All],2)</f>
        <v>Not due</v>
      </c>
    </row>
    <row r="332" spans="1:7" x14ac:dyDescent="0.3">
      <c r="A332" s="25" t="s">
        <v>322</v>
      </c>
      <c r="B332" s="13" t="s">
        <v>595</v>
      </c>
      <c r="C332" s="26">
        <v>45857</v>
      </c>
      <c r="D332" s="26">
        <f>WORKDAY(AR_table!$C332,$J$1)</f>
        <v>45898</v>
      </c>
      <c r="E332" s="27">
        <v>1629.61</v>
      </c>
      <c r="F332" s="10">
        <f ca="1">IF(AR_table!$D332&gt;=TODAY(),0,NETWORKDAYS(AR_table!$D332,TODAY()))</f>
        <v>119</v>
      </c>
      <c r="G332" s="13" t="str">
        <f ca="1">VLOOKUP(AR_table!$F332,aging_bucket[#All],2)</f>
        <v>&gt;90</v>
      </c>
    </row>
    <row r="333" spans="1:7" x14ac:dyDescent="0.3">
      <c r="A333" s="12" t="s">
        <v>323</v>
      </c>
      <c r="B333" s="10" t="s">
        <v>594</v>
      </c>
      <c r="C333" s="14">
        <v>45719</v>
      </c>
      <c r="D333" s="14">
        <f>WORKDAY(AR_table!$C333,$J$1)</f>
        <v>45761</v>
      </c>
      <c r="E333" s="15">
        <v>6605.12</v>
      </c>
      <c r="F333" s="10">
        <f ca="1">IF(AR_table!$D333&gt;=TODAY(),0,NETWORKDAYS(AR_table!$D333,TODAY()))</f>
        <v>218</v>
      </c>
      <c r="G333" s="10" t="str">
        <f ca="1">VLOOKUP(AR_table!$F333,aging_bucket[#All],2)</f>
        <v>&gt;90</v>
      </c>
    </row>
    <row r="334" spans="1:7" x14ac:dyDescent="0.3">
      <c r="A334" s="25" t="s">
        <v>324</v>
      </c>
      <c r="B334" s="13" t="s">
        <v>591</v>
      </c>
      <c r="C334" s="26">
        <v>45905</v>
      </c>
      <c r="D334" s="26">
        <f>WORKDAY(AR_table!$C334,$J$1)</f>
        <v>45947</v>
      </c>
      <c r="E334" s="27">
        <v>2497.34</v>
      </c>
      <c r="F334" s="10">
        <f ca="1">IF(AR_table!$D334&gt;=TODAY(),0,NETWORKDAYS(AR_table!$D334,TODAY()))</f>
        <v>84</v>
      </c>
      <c r="G334" s="13" t="str">
        <f ca="1">VLOOKUP(AR_table!$F334,aging_bucket[#All],2)</f>
        <v>61-90</v>
      </c>
    </row>
    <row r="335" spans="1:7" x14ac:dyDescent="0.3">
      <c r="A335" s="25" t="s">
        <v>325</v>
      </c>
      <c r="B335" s="13" t="s">
        <v>595</v>
      </c>
      <c r="C335" s="26">
        <v>45929</v>
      </c>
      <c r="D335" s="26">
        <f>WORKDAY(AR_table!$C335,$J$1)</f>
        <v>45971</v>
      </c>
      <c r="E335" s="27">
        <v>3027.77</v>
      </c>
      <c r="F335" s="10">
        <f ca="1">IF(AR_table!$D335&gt;=TODAY(),0,NETWORKDAYS(AR_table!$D335,TODAY()))</f>
        <v>68</v>
      </c>
      <c r="G335" s="13" t="str">
        <f ca="1">VLOOKUP(AR_table!$F335,aging_bucket[#All],2)</f>
        <v>61-90</v>
      </c>
    </row>
    <row r="336" spans="1:7" x14ac:dyDescent="0.3">
      <c r="A336" s="25" t="s">
        <v>326</v>
      </c>
      <c r="B336" s="13" t="s">
        <v>592</v>
      </c>
      <c r="C336" s="26">
        <v>45668</v>
      </c>
      <c r="D336" s="26">
        <f>WORKDAY(AR_table!$C336,$J$1)</f>
        <v>45709</v>
      </c>
      <c r="E336" s="27">
        <v>7102.62</v>
      </c>
      <c r="F336" s="10">
        <f ca="1">IF(AR_table!$D336&gt;=TODAY(),0,NETWORKDAYS(AR_table!$D336,TODAY()))</f>
        <v>254</v>
      </c>
      <c r="G336" s="13" t="str">
        <f ca="1">VLOOKUP(AR_table!$F336,aging_bucket[#All],2)</f>
        <v>&gt;90</v>
      </c>
    </row>
    <row r="337" spans="1:7" x14ac:dyDescent="0.3">
      <c r="A337" s="12" t="s">
        <v>327</v>
      </c>
      <c r="B337" s="10" t="s">
        <v>593</v>
      </c>
      <c r="C337" s="14">
        <v>45855</v>
      </c>
      <c r="D337" s="14">
        <f>WORKDAY(AR_table!$C337,$J$1)</f>
        <v>45897</v>
      </c>
      <c r="E337" s="15">
        <v>5929.86</v>
      </c>
      <c r="F337" s="10">
        <f ca="1">IF(AR_table!$D337&gt;=TODAY(),0,NETWORKDAYS(AR_table!$D337,TODAY()))</f>
        <v>120</v>
      </c>
      <c r="G337" s="10" t="str">
        <f ca="1">VLOOKUP(AR_table!$F337,aging_bucket[#All],2)</f>
        <v>&gt;90</v>
      </c>
    </row>
    <row r="338" spans="1:7" x14ac:dyDescent="0.3">
      <c r="A338" s="25" t="s">
        <v>328</v>
      </c>
      <c r="B338" s="13" t="s">
        <v>591</v>
      </c>
      <c r="C338" s="26">
        <v>45684</v>
      </c>
      <c r="D338" s="26">
        <f>WORKDAY(AR_table!$C338,$J$1)</f>
        <v>45726</v>
      </c>
      <c r="E338" s="27">
        <v>6424.1</v>
      </c>
      <c r="F338" s="10">
        <f ca="1">IF(AR_table!$D338&gt;=TODAY(),0,NETWORKDAYS(AR_table!$D338,TODAY()))</f>
        <v>243</v>
      </c>
      <c r="G338" s="13" t="str">
        <f ca="1">VLOOKUP(AR_table!$F338,aging_bucket[#All],2)</f>
        <v>&gt;90</v>
      </c>
    </row>
    <row r="339" spans="1:7" x14ac:dyDescent="0.3">
      <c r="A339" s="12" t="s">
        <v>329</v>
      </c>
      <c r="B339" s="10" t="s">
        <v>593</v>
      </c>
      <c r="C339" s="14">
        <v>45900</v>
      </c>
      <c r="D339" s="14">
        <f>WORKDAY(AR_table!$C339,$J$1)</f>
        <v>45940</v>
      </c>
      <c r="E339" s="15">
        <v>4923.67</v>
      </c>
      <c r="F339" s="10">
        <f ca="1">IF(AR_table!$D339&gt;=TODAY(),0,NETWORKDAYS(AR_table!$D339,TODAY()))</f>
        <v>89</v>
      </c>
      <c r="G339" s="10" t="str">
        <f ca="1">VLOOKUP(AR_table!$F339,aging_bucket[#All],2)</f>
        <v>61-90</v>
      </c>
    </row>
    <row r="340" spans="1:7" x14ac:dyDescent="0.3">
      <c r="A340" s="12" t="s">
        <v>330</v>
      </c>
      <c r="B340" s="10" t="s">
        <v>591</v>
      </c>
      <c r="C340" s="14">
        <v>46066</v>
      </c>
      <c r="D340" s="14">
        <f>WORKDAY(AR_table!$C340,$J$1)</f>
        <v>46108</v>
      </c>
      <c r="E340" s="15">
        <v>6136.43</v>
      </c>
      <c r="F340" s="10">
        <f ca="1">IF(AR_table!$D340&gt;=TODAY(),0,NETWORKDAYS(AR_table!$D340,TODAY()))</f>
        <v>0</v>
      </c>
      <c r="G340" s="10" t="str">
        <f ca="1">VLOOKUP(AR_table!$F340,aging_bucket[#All],2)</f>
        <v>Not due</v>
      </c>
    </row>
    <row r="341" spans="1:7" x14ac:dyDescent="0.3">
      <c r="A341" s="12" t="s">
        <v>331</v>
      </c>
      <c r="B341" s="10" t="s">
        <v>591</v>
      </c>
      <c r="C341" s="14">
        <v>45925</v>
      </c>
      <c r="D341" s="14">
        <f>WORKDAY(AR_table!$C341,$J$1)</f>
        <v>45967</v>
      </c>
      <c r="E341" s="15">
        <v>6215.44</v>
      </c>
      <c r="F341" s="10">
        <f ca="1">IF(AR_table!$D341&gt;=TODAY(),0,NETWORKDAYS(AR_table!$D341,TODAY()))</f>
        <v>70</v>
      </c>
      <c r="G341" s="10" t="str">
        <f ca="1">VLOOKUP(AR_table!$F341,aging_bucket[#All],2)</f>
        <v>61-90</v>
      </c>
    </row>
    <row r="342" spans="1:7" x14ac:dyDescent="0.3">
      <c r="A342" s="25" t="s">
        <v>332</v>
      </c>
      <c r="B342" s="13" t="s">
        <v>594</v>
      </c>
      <c r="C342" s="26">
        <v>45676</v>
      </c>
      <c r="D342" s="26">
        <f>WORKDAY(AR_table!$C342,$J$1)</f>
        <v>45716</v>
      </c>
      <c r="E342" s="27">
        <v>2857.74</v>
      </c>
      <c r="F342" s="10">
        <f ca="1">IF(AR_table!$D342&gt;=TODAY(),0,NETWORKDAYS(AR_table!$D342,TODAY()))</f>
        <v>249</v>
      </c>
      <c r="G342" s="13" t="str">
        <f ca="1">VLOOKUP(AR_table!$F342,aging_bucket[#All],2)</f>
        <v>&gt;90</v>
      </c>
    </row>
    <row r="343" spans="1:7" x14ac:dyDescent="0.3">
      <c r="A343" s="12" t="s">
        <v>333</v>
      </c>
      <c r="B343" s="10" t="s">
        <v>593</v>
      </c>
      <c r="C343" s="14">
        <v>45740</v>
      </c>
      <c r="D343" s="14">
        <f>WORKDAY(AR_table!$C343,$J$1)</f>
        <v>45782</v>
      </c>
      <c r="E343" s="15">
        <v>4322.01</v>
      </c>
      <c r="F343" s="10">
        <f ca="1">IF(AR_table!$D343&gt;=TODAY(),0,NETWORKDAYS(AR_table!$D343,TODAY()))</f>
        <v>203</v>
      </c>
      <c r="G343" s="10" t="str">
        <f ca="1">VLOOKUP(AR_table!$F343,aging_bucket[#All],2)</f>
        <v>&gt;90</v>
      </c>
    </row>
    <row r="344" spans="1:7" x14ac:dyDescent="0.3">
      <c r="A344" s="25" t="s">
        <v>334</v>
      </c>
      <c r="B344" s="13" t="s">
        <v>591</v>
      </c>
      <c r="C344" s="26">
        <v>46078</v>
      </c>
      <c r="D344" s="26">
        <f>WORKDAY(AR_table!$C344,$J$1)</f>
        <v>46120</v>
      </c>
      <c r="E344" s="27">
        <v>7905.09</v>
      </c>
      <c r="F344" s="10">
        <f ca="1">IF(AR_table!$D344&gt;=TODAY(),0,NETWORKDAYS(AR_table!$D344,TODAY()))</f>
        <v>0</v>
      </c>
      <c r="G344" s="13" t="str">
        <f ca="1">VLOOKUP(AR_table!$F344,aging_bucket[#All],2)</f>
        <v>Not due</v>
      </c>
    </row>
    <row r="345" spans="1:7" x14ac:dyDescent="0.3">
      <c r="A345" s="12" t="s">
        <v>335</v>
      </c>
      <c r="B345" s="10" t="s">
        <v>592</v>
      </c>
      <c r="C345" s="14">
        <v>45716</v>
      </c>
      <c r="D345" s="14">
        <f>WORKDAY(AR_table!$C345,$J$1)</f>
        <v>45758</v>
      </c>
      <c r="E345" s="15">
        <v>743.1</v>
      </c>
      <c r="F345" s="10">
        <f ca="1">IF(AR_table!$D345&gt;=TODAY(),0,NETWORKDAYS(AR_table!$D345,TODAY()))</f>
        <v>219</v>
      </c>
      <c r="G345" s="10" t="str">
        <f ca="1">VLOOKUP(AR_table!$F345,aging_bucket[#All],2)</f>
        <v>&gt;90</v>
      </c>
    </row>
    <row r="346" spans="1:7" x14ac:dyDescent="0.3">
      <c r="A346" s="25" t="s">
        <v>336</v>
      </c>
      <c r="B346" s="13" t="s">
        <v>595</v>
      </c>
      <c r="C346" s="26">
        <v>45663</v>
      </c>
      <c r="D346" s="26">
        <f>WORKDAY(AR_table!$C346,$J$1)</f>
        <v>45705</v>
      </c>
      <c r="E346" s="27">
        <v>6727.1</v>
      </c>
      <c r="F346" s="10">
        <f ca="1">IF(AR_table!$D346&gt;=TODAY(),0,NETWORKDAYS(AR_table!$D346,TODAY()))</f>
        <v>258</v>
      </c>
      <c r="G346" s="13" t="str">
        <f ca="1">VLOOKUP(AR_table!$F346,aging_bucket[#All],2)</f>
        <v>&gt;90</v>
      </c>
    </row>
    <row r="347" spans="1:7" x14ac:dyDescent="0.3">
      <c r="A347" s="12" t="s">
        <v>337</v>
      </c>
      <c r="B347" s="10" t="s">
        <v>593</v>
      </c>
      <c r="C347" s="14">
        <v>46177</v>
      </c>
      <c r="D347" s="14">
        <f>WORKDAY(AR_table!$C347,$J$1)</f>
        <v>46219</v>
      </c>
      <c r="E347" s="15">
        <v>917.97</v>
      </c>
      <c r="F347" s="10">
        <f ca="1">IF(AR_table!$D347&gt;=TODAY(),0,NETWORKDAYS(AR_table!$D347,TODAY()))</f>
        <v>0</v>
      </c>
      <c r="G347" s="10" t="str">
        <f ca="1">VLOOKUP(AR_table!$F347,aging_bucket[#All],2)</f>
        <v>Not due</v>
      </c>
    </row>
    <row r="348" spans="1:7" x14ac:dyDescent="0.3">
      <c r="A348" s="25" t="s">
        <v>338</v>
      </c>
      <c r="B348" s="13" t="s">
        <v>591</v>
      </c>
      <c r="C348" s="26">
        <v>45885</v>
      </c>
      <c r="D348" s="26">
        <f>WORKDAY(AR_table!$C348,$J$1)</f>
        <v>45926</v>
      </c>
      <c r="E348" s="27">
        <v>1299.6199999999999</v>
      </c>
      <c r="F348" s="10">
        <f ca="1">IF(AR_table!$D348&gt;=TODAY(),0,NETWORKDAYS(AR_table!$D348,TODAY()))</f>
        <v>99</v>
      </c>
      <c r="G348" s="13" t="str">
        <f ca="1">VLOOKUP(AR_table!$F348,aging_bucket[#All],2)</f>
        <v>&gt;90</v>
      </c>
    </row>
    <row r="349" spans="1:7" x14ac:dyDescent="0.3">
      <c r="A349" s="12" t="s">
        <v>339</v>
      </c>
      <c r="B349" s="10" t="s">
        <v>593</v>
      </c>
      <c r="C349" s="14">
        <v>45704</v>
      </c>
      <c r="D349" s="14">
        <f>WORKDAY(AR_table!$C349,$J$1)</f>
        <v>45744</v>
      </c>
      <c r="E349" s="15">
        <v>2593.81</v>
      </c>
      <c r="F349" s="10">
        <f ca="1">IF(AR_table!$D349&gt;=TODAY(),0,NETWORKDAYS(AR_table!$D349,TODAY()))</f>
        <v>229</v>
      </c>
      <c r="G349" s="10" t="str">
        <f ca="1">VLOOKUP(AR_table!$F349,aging_bucket[#All],2)</f>
        <v>&gt;90</v>
      </c>
    </row>
    <row r="350" spans="1:7" x14ac:dyDescent="0.3">
      <c r="A350" s="25" t="s">
        <v>340</v>
      </c>
      <c r="B350" s="13" t="s">
        <v>592</v>
      </c>
      <c r="C350" s="26">
        <v>46080</v>
      </c>
      <c r="D350" s="26">
        <f>WORKDAY(AR_table!$C350,$J$1)</f>
        <v>46122</v>
      </c>
      <c r="E350" s="27">
        <v>5910.9</v>
      </c>
      <c r="F350" s="10">
        <f ca="1">IF(AR_table!$D350&gt;=TODAY(),0,NETWORKDAYS(AR_table!$D350,TODAY()))</f>
        <v>0</v>
      </c>
      <c r="G350" s="13" t="str">
        <f ca="1">VLOOKUP(AR_table!$F350,aging_bucket[#All],2)</f>
        <v>Not due</v>
      </c>
    </row>
    <row r="351" spans="1:7" x14ac:dyDescent="0.3">
      <c r="A351" s="12" t="s">
        <v>341</v>
      </c>
      <c r="B351" s="10" t="s">
        <v>591</v>
      </c>
      <c r="C351" s="14">
        <v>46002</v>
      </c>
      <c r="D351" s="14">
        <f>WORKDAY(AR_table!$C351,$J$1)</f>
        <v>46044</v>
      </c>
      <c r="E351" s="15">
        <v>4375.05</v>
      </c>
      <c r="F351" s="10">
        <f ca="1">IF(AR_table!$D351&gt;=TODAY(),0,NETWORKDAYS(AR_table!$D351,TODAY()))</f>
        <v>15</v>
      </c>
      <c r="G351" s="10" t="str">
        <f ca="1">VLOOKUP(AR_table!$F351,aging_bucket[#All],2)</f>
        <v>1-30</v>
      </c>
    </row>
    <row r="352" spans="1:7" x14ac:dyDescent="0.3">
      <c r="A352" s="25" t="s">
        <v>342</v>
      </c>
      <c r="B352" s="13" t="s">
        <v>594</v>
      </c>
      <c r="C352" s="26">
        <v>45934</v>
      </c>
      <c r="D352" s="26">
        <f>WORKDAY(AR_table!$C352,$J$1)</f>
        <v>45975</v>
      </c>
      <c r="E352" s="27">
        <v>5454.31</v>
      </c>
      <c r="F352" s="10">
        <f ca="1">IF(AR_table!$D352&gt;=TODAY(),0,NETWORKDAYS(AR_table!$D352,TODAY()))</f>
        <v>64</v>
      </c>
      <c r="G352" s="13" t="str">
        <f ca="1">VLOOKUP(AR_table!$F352,aging_bucket[#All],2)</f>
        <v>61-90</v>
      </c>
    </row>
    <row r="353" spans="1:7" x14ac:dyDescent="0.3">
      <c r="A353" s="12" t="s">
        <v>343</v>
      </c>
      <c r="B353" s="10" t="s">
        <v>595</v>
      </c>
      <c r="C353" s="14">
        <v>45798</v>
      </c>
      <c r="D353" s="14">
        <f>WORKDAY(AR_table!$C353,$J$1)</f>
        <v>45840</v>
      </c>
      <c r="E353" s="15">
        <v>7779.62</v>
      </c>
      <c r="F353" s="10">
        <f ca="1">IF(AR_table!$D353&gt;=TODAY(),0,NETWORKDAYS(AR_table!$D353,TODAY()))</f>
        <v>161</v>
      </c>
      <c r="G353" s="10" t="str">
        <f ca="1">VLOOKUP(AR_table!$F353,aging_bucket[#All],2)</f>
        <v>&gt;90</v>
      </c>
    </row>
    <row r="354" spans="1:7" x14ac:dyDescent="0.3">
      <c r="A354" s="12" t="s">
        <v>344</v>
      </c>
      <c r="B354" s="10" t="s">
        <v>592</v>
      </c>
      <c r="C354" s="14">
        <v>45982</v>
      </c>
      <c r="D354" s="14">
        <f>WORKDAY(AR_table!$C354,$J$1)</f>
        <v>46024</v>
      </c>
      <c r="E354" s="15">
        <v>6285.37</v>
      </c>
      <c r="F354" s="10">
        <f ca="1">IF(AR_table!$D354&gt;=TODAY(),0,NETWORKDAYS(AR_table!$D354,TODAY()))</f>
        <v>29</v>
      </c>
      <c r="G354" s="10" t="str">
        <f ca="1">VLOOKUP(AR_table!$F354,aging_bucket[#All],2)</f>
        <v>1-30</v>
      </c>
    </row>
    <row r="355" spans="1:7" x14ac:dyDescent="0.3">
      <c r="A355" s="25" t="s">
        <v>345</v>
      </c>
      <c r="B355" s="13" t="s">
        <v>592</v>
      </c>
      <c r="C355" s="26">
        <v>45823</v>
      </c>
      <c r="D355" s="26">
        <f>WORKDAY(AR_table!$C355,$J$1)</f>
        <v>45863</v>
      </c>
      <c r="E355" s="27">
        <v>6675.34</v>
      </c>
      <c r="F355" s="10">
        <f ca="1">IF(AR_table!$D355&gt;=TODAY(),0,NETWORKDAYS(AR_table!$D355,TODAY()))</f>
        <v>144</v>
      </c>
      <c r="G355" s="13" t="str">
        <f ca="1">VLOOKUP(AR_table!$F355,aging_bucket[#All],2)</f>
        <v>&gt;90</v>
      </c>
    </row>
    <row r="356" spans="1:7" x14ac:dyDescent="0.3">
      <c r="A356" s="25" t="s">
        <v>346</v>
      </c>
      <c r="B356" s="13" t="s">
        <v>593</v>
      </c>
      <c r="C356" s="26">
        <v>46154</v>
      </c>
      <c r="D356" s="26">
        <f>WORKDAY(AR_table!$C356,$J$1)</f>
        <v>46196</v>
      </c>
      <c r="E356" s="27">
        <v>3320.12</v>
      </c>
      <c r="F356" s="10">
        <f ca="1">IF(AR_table!$D356&gt;=TODAY(),0,NETWORKDAYS(AR_table!$D356,TODAY()))</f>
        <v>0</v>
      </c>
      <c r="G356" s="13" t="str">
        <f ca="1">VLOOKUP(AR_table!$F356,aging_bucket[#All],2)</f>
        <v>Not due</v>
      </c>
    </row>
    <row r="357" spans="1:7" x14ac:dyDescent="0.3">
      <c r="A357" s="12" t="s">
        <v>347</v>
      </c>
      <c r="B357" s="10" t="s">
        <v>593</v>
      </c>
      <c r="C357" s="14">
        <v>45834</v>
      </c>
      <c r="D357" s="14">
        <f>WORKDAY(AR_table!$C357,$J$1)</f>
        <v>45876</v>
      </c>
      <c r="E357" s="15">
        <v>3567.1</v>
      </c>
      <c r="F357" s="10">
        <f ca="1">IF(AR_table!$D357&gt;=TODAY(),0,NETWORKDAYS(AR_table!$D357,TODAY()))</f>
        <v>135</v>
      </c>
      <c r="G357" s="10" t="str">
        <f ca="1">VLOOKUP(AR_table!$F357,aging_bucket[#All],2)</f>
        <v>&gt;90</v>
      </c>
    </row>
    <row r="358" spans="1:7" x14ac:dyDescent="0.3">
      <c r="A358" s="25" t="s">
        <v>348</v>
      </c>
      <c r="B358" s="13" t="s">
        <v>595</v>
      </c>
      <c r="C358" s="26">
        <v>45831</v>
      </c>
      <c r="D358" s="26">
        <f>WORKDAY(AR_table!$C358,$J$1)</f>
        <v>45873</v>
      </c>
      <c r="E358" s="27">
        <v>1514.1</v>
      </c>
      <c r="F358" s="10">
        <f ca="1">IF(AR_table!$D358&gt;=TODAY(),0,NETWORKDAYS(AR_table!$D358,TODAY()))</f>
        <v>138</v>
      </c>
      <c r="G358" s="13" t="str">
        <f ca="1">VLOOKUP(AR_table!$F358,aging_bucket[#All],2)</f>
        <v>&gt;90</v>
      </c>
    </row>
    <row r="359" spans="1:7" x14ac:dyDescent="0.3">
      <c r="A359" s="12" t="s">
        <v>349</v>
      </c>
      <c r="B359" s="10" t="s">
        <v>592</v>
      </c>
      <c r="C359" s="14">
        <v>45859</v>
      </c>
      <c r="D359" s="14">
        <f>WORKDAY(AR_table!$C359,$J$1)</f>
        <v>45901</v>
      </c>
      <c r="E359" s="15">
        <v>5234.6000000000004</v>
      </c>
      <c r="F359" s="10">
        <f ca="1">IF(AR_table!$D359&gt;=TODAY(),0,NETWORKDAYS(AR_table!$D359,TODAY()))</f>
        <v>118</v>
      </c>
      <c r="G359" s="10" t="str">
        <f ca="1">VLOOKUP(AR_table!$F359,aging_bucket[#All],2)</f>
        <v>&gt;90</v>
      </c>
    </row>
    <row r="360" spans="1:7" x14ac:dyDescent="0.3">
      <c r="A360" s="25" t="s">
        <v>350</v>
      </c>
      <c r="B360" s="13" t="s">
        <v>594</v>
      </c>
      <c r="C360" s="26">
        <v>46004</v>
      </c>
      <c r="D360" s="26">
        <f>WORKDAY(AR_table!$C360,$J$1)</f>
        <v>46045</v>
      </c>
      <c r="E360" s="27">
        <v>3441.63</v>
      </c>
      <c r="F360" s="10">
        <f ca="1">IF(AR_table!$D360&gt;=TODAY(),0,NETWORKDAYS(AR_table!$D360,TODAY()))</f>
        <v>14</v>
      </c>
      <c r="G360" s="13" t="str">
        <f ca="1">VLOOKUP(AR_table!$F360,aging_bucket[#All],2)</f>
        <v>1-30</v>
      </c>
    </row>
    <row r="361" spans="1:7" x14ac:dyDescent="0.3">
      <c r="A361" s="12" t="s">
        <v>351</v>
      </c>
      <c r="B361" s="10" t="s">
        <v>591</v>
      </c>
      <c r="C361" s="14">
        <v>45951</v>
      </c>
      <c r="D361" s="14">
        <f>WORKDAY(AR_table!$C361,$J$1)</f>
        <v>45993</v>
      </c>
      <c r="E361" s="15">
        <v>6507.19</v>
      </c>
      <c r="F361" s="10">
        <f ca="1">IF(AR_table!$D361&gt;=TODAY(),0,NETWORKDAYS(AR_table!$D361,TODAY()))</f>
        <v>52</v>
      </c>
      <c r="G361" s="10" t="str">
        <f ca="1">VLOOKUP(AR_table!$F361,aging_bucket[#All],2)</f>
        <v>31-60</v>
      </c>
    </row>
    <row r="362" spans="1:7" x14ac:dyDescent="0.3">
      <c r="A362" s="25" t="s">
        <v>352</v>
      </c>
      <c r="B362" s="13" t="s">
        <v>593</v>
      </c>
      <c r="C362" s="26">
        <v>46084</v>
      </c>
      <c r="D362" s="26">
        <f>WORKDAY(AR_table!$C362,$J$1)</f>
        <v>46126</v>
      </c>
      <c r="E362" s="27">
        <v>3028.92</v>
      </c>
      <c r="F362" s="10">
        <f ca="1">IF(AR_table!$D362&gt;=TODAY(),0,NETWORKDAYS(AR_table!$D362,TODAY()))</f>
        <v>0</v>
      </c>
      <c r="G362" s="13" t="str">
        <f ca="1">VLOOKUP(AR_table!$F362,aging_bucket[#All],2)</f>
        <v>Not due</v>
      </c>
    </row>
    <row r="363" spans="1:7" x14ac:dyDescent="0.3">
      <c r="A363" s="25" t="s">
        <v>353</v>
      </c>
      <c r="B363" s="13" t="s">
        <v>595</v>
      </c>
      <c r="C363" s="26">
        <v>46093</v>
      </c>
      <c r="D363" s="26">
        <f>WORKDAY(AR_table!$C363,$J$1)</f>
        <v>46135</v>
      </c>
      <c r="E363" s="27">
        <v>6618.18</v>
      </c>
      <c r="F363" s="10">
        <f ca="1">IF(AR_table!$D363&gt;=TODAY(),0,NETWORKDAYS(AR_table!$D363,TODAY()))</f>
        <v>0</v>
      </c>
      <c r="G363" s="13" t="str">
        <f ca="1">VLOOKUP(AR_table!$F363,aging_bucket[#All],2)</f>
        <v>Not due</v>
      </c>
    </row>
    <row r="364" spans="1:7" x14ac:dyDescent="0.3">
      <c r="A364" s="12" t="s">
        <v>354</v>
      </c>
      <c r="B364" s="10" t="s">
        <v>593</v>
      </c>
      <c r="C364" s="14">
        <v>45717</v>
      </c>
      <c r="D364" s="14">
        <f>WORKDAY(AR_table!$C364,$J$1)</f>
        <v>45758</v>
      </c>
      <c r="E364" s="15">
        <v>289.27999999999997</v>
      </c>
      <c r="F364" s="10">
        <f ca="1">IF(AR_table!$D364&gt;=TODAY(),0,NETWORKDAYS(AR_table!$D364,TODAY()))</f>
        <v>219</v>
      </c>
      <c r="G364" s="10" t="str">
        <f ca="1">VLOOKUP(AR_table!$F364,aging_bucket[#All],2)</f>
        <v>&gt;90</v>
      </c>
    </row>
    <row r="365" spans="1:7" x14ac:dyDescent="0.3">
      <c r="A365" s="25" t="s">
        <v>355</v>
      </c>
      <c r="B365" s="13" t="s">
        <v>592</v>
      </c>
      <c r="C365" s="26">
        <v>46124</v>
      </c>
      <c r="D365" s="26">
        <f>WORKDAY(AR_table!$C365,$J$1)</f>
        <v>46164</v>
      </c>
      <c r="E365" s="27">
        <v>5116.57</v>
      </c>
      <c r="F365" s="10">
        <f ca="1">IF(AR_table!$D365&gt;=TODAY(),0,NETWORKDAYS(AR_table!$D365,TODAY()))</f>
        <v>0</v>
      </c>
      <c r="G365" s="13" t="str">
        <f ca="1">VLOOKUP(AR_table!$F365,aging_bucket[#All],2)</f>
        <v>Not due</v>
      </c>
    </row>
    <row r="366" spans="1:7" x14ac:dyDescent="0.3">
      <c r="A366" s="25" t="s">
        <v>356</v>
      </c>
      <c r="B366" s="13" t="s">
        <v>591</v>
      </c>
      <c r="C366" s="26">
        <v>45861</v>
      </c>
      <c r="D366" s="26">
        <f>WORKDAY(AR_table!$C366,$J$1)</f>
        <v>45903</v>
      </c>
      <c r="E366" s="27">
        <v>2650.37</v>
      </c>
      <c r="F366" s="10">
        <f ca="1">IF(AR_table!$D366&gt;=TODAY(),0,NETWORKDAYS(AR_table!$D366,TODAY()))</f>
        <v>116</v>
      </c>
      <c r="G366" s="13" t="str">
        <f ca="1">VLOOKUP(AR_table!$F366,aging_bucket[#All],2)</f>
        <v>&gt;90</v>
      </c>
    </row>
    <row r="367" spans="1:7" x14ac:dyDescent="0.3">
      <c r="A367" s="12" t="s">
        <v>357</v>
      </c>
      <c r="B367" s="10" t="s">
        <v>595</v>
      </c>
      <c r="C367" s="14">
        <v>46134</v>
      </c>
      <c r="D367" s="14">
        <f>WORKDAY(AR_table!$C367,$J$1)</f>
        <v>46176</v>
      </c>
      <c r="E367" s="15">
        <v>4369.96</v>
      </c>
      <c r="F367" s="10">
        <f ca="1">IF(AR_table!$D367&gt;=TODAY(),0,NETWORKDAYS(AR_table!$D367,TODAY()))</f>
        <v>0</v>
      </c>
      <c r="G367" s="10" t="str">
        <f ca="1">VLOOKUP(AR_table!$F367,aging_bucket[#All],2)</f>
        <v>Not due</v>
      </c>
    </row>
    <row r="368" spans="1:7" x14ac:dyDescent="0.3">
      <c r="A368" s="25" t="s">
        <v>358</v>
      </c>
      <c r="B368" s="13" t="s">
        <v>593</v>
      </c>
      <c r="C368" s="26">
        <v>46114</v>
      </c>
      <c r="D368" s="26">
        <f>WORKDAY(AR_table!$C368,$J$1)</f>
        <v>46156</v>
      </c>
      <c r="E368" s="27">
        <v>436.3</v>
      </c>
      <c r="F368" s="10">
        <f ca="1">IF(AR_table!$D368&gt;=TODAY(),0,NETWORKDAYS(AR_table!$D368,TODAY()))</f>
        <v>0</v>
      </c>
      <c r="G368" s="13" t="str">
        <f ca="1">VLOOKUP(AR_table!$F368,aging_bucket[#All],2)</f>
        <v>Not due</v>
      </c>
    </row>
    <row r="369" spans="1:7" x14ac:dyDescent="0.3">
      <c r="A369" s="12" t="s">
        <v>359</v>
      </c>
      <c r="B369" s="10" t="s">
        <v>591</v>
      </c>
      <c r="C369" s="14">
        <v>45674</v>
      </c>
      <c r="D369" s="14">
        <f>WORKDAY(AR_table!$C369,$J$1)</f>
        <v>45716</v>
      </c>
      <c r="E369" s="15">
        <v>2188.6999999999998</v>
      </c>
      <c r="F369" s="10">
        <f ca="1">IF(AR_table!$D369&gt;=TODAY(),0,NETWORKDAYS(AR_table!$D369,TODAY()))</f>
        <v>249</v>
      </c>
      <c r="G369" s="10" t="str">
        <f ca="1">VLOOKUP(AR_table!$F369,aging_bucket[#All],2)</f>
        <v>&gt;90</v>
      </c>
    </row>
    <row r="370" spans="1:7" x14ac:dyDescent="0.3">
      <c r="A370" s="12" t="s">
        <v>360</v>
      </c>
      <c r="B370" s="10" t="s">
        <v>595</v>
      </c>
      <c r="C370" s="14">
        <v>45875</v>
      </c>
      <c r="D370" s="14">
        <f>WORKDAY(AR_table!$C370,$J$1)</f>
        <v>45917</v>
      </c>
      <c r="E370" s="15">
        <v>4212.33</v>
      </c>
      <c r="F370" s="10">
        <f ca="1">IF(AR_table!$D370&gt;=TODAY(),0,NETWORKDAYS(AR_table!$D370,TODAY()))</f>
        <v>106</v>
      </c>
      <c r="G370" s="10" t="str">
        <f ca="1">VLOOKUP(AR_table!$F370,aging_bucket[#All],2)</f>
        <v>&gt;90</v>
      </c>
    </row>
    <row r="371" spans="1:7" x14ac:dyDescent="0.3">
      <c r="A371" s="25" t="s">
        <v>361</v>
      </c>
      <c r="B371" s="13" t="s">
        <v>594</v>
      </c>
      <c r="C371" s="26">
        <v>45944</v>
      </c>
      <c r="D371" s="26">
        <f>WORKDAY(AR_table!$C371,$J$1)</f>
        <v>45986</v>
      </c>
      <c r="E371" s="27">
        <v>5357.53</v>
      </c>
      <c r="F371" s="10">
        <f ca="1">IF(AR_table!$D371&gt;=TODAY(),0,NETWORKDAYS(AR_table!$D371,TODAY()))</f>
        <v>57</v>
      </c>
      <c r="G371" s="13" t="str">
        <f ca="1">VLOOKUP(AR_table!$F371,aging_bucket[#All],2)</f>
        <v>31-60</v>
      </c>
    </row>
    <row r="372" spans="1:7" x14ac:dyDescent="0.3">
      <c r="A372" s="12" t="s">
        <v>362</v>
      </c>
      <c r="B372" s="10" t="s">
        <v>595</v>
      </c>
      <c r="C372" s="14">
        <v>45769</v>
      </c>
      <c r="D372" s="14">
        <f>WORKDAY(AR_table!$C372,$J$1)</f>
        <v>45811</v>
      </c>
      <c r="E372" s="15">
        <v>3853.52</v>
      </c>
      <c r="F372" s="10">
        <f ca="1">IF(AR_table!$D372&gt;=TODAY(),0,NETWORKDAYS(AR_table!$D372,TODAY()))</f>
        <v>182</v>
      </c>
      <c r="G372" s="10" t="str">
        <f ca="1">VLOOKUP(AR_table!$F372,aging_bucket[#All],2)</f>
        <v>&gt;90</v>
      </c>
    </row>
    <row r="373" spans="1:7" x14ac:dyDescent="0.3">
      <c r="A373" s="12" t="s">
        <v>363</v>
      </c>
      <c r="B373" s="10" t="s">
        <v>591</v>
      </c>
      <c r="C373" s="14">
        <v>45727</v>
      </c>
      <c r="D373" s="14">
        <f>WORKDAY(AR_table!$C373,$J$1)</f>
        <v>45769</v>
      </c>
      <c r="E373" s="15">
        <v>6667.79</v>
      </c>
      <c r="F373" s="10">
        <f ca="1">IF(AR_table!$D373&gt;=TODAY(),0,NETWORKDAYS(AR_table!$D373,TODAY()))</f>
        <v>212</v>
      </c>
      <c r="G373" s="10" t="str">
        <f ca="1">VLOOKUP(AR_table!$F373,aging_bucket[#All],2)</f>
        <v>&gt;90</v>
      </c>
    </row>
    <row r="374" spans="1:7" x14ac:dyDescent="0.3">
      <c r="A374" s="12" t="s">
        <v>364</v>
      </c>
      <c r="B374" s="10" t="s">
        <v>592</v>
      </c>
      <c r="C374" s="14">
        <v>45958</v>
      </c>
      <c r="D374" s="14">
        <f>WORKDAY(AR_table!$C374,$J$1)</f>
        <v>46000</v>
      </c>
      <c r="E374" s="15">
        <v>3429.97</v>
      </c>
      <c r="F374" s="10">
        <f ca="1">IF(AR_table!$D374&gt;=TODAY(),0,NETWORKDAYS(AR_table!$D374,TODAY()))</f>
        <v>47</v>
      </c>
      <c r="G374" s="10" t="str">
        <f ca="1">VLOOKUP(AR_table!$F374,aging_bucket[#All],2)</f>
        <v>31-60</v>
      </c>
    </row>
    <row r="375" spans="1:7" x14ac:dyDescent="0.3">
      <c r="A375" s="25" t="s">
        <v>365</v>
      </c>
      <c r="B375" s="13" t="s">
        <v>593</v>
      </c>
      <c r="C375" s="26">
        <v>46174</v>
      </c>
      <c r="D375" s="26">
        <f>WORKDAY(AR_table!$C375,$J$1)</f>
        <v>46216</v>
      </c>
      <c r="E375" s="27">
        <v>2696.48</v>
      </c>
      <c r="F375" s="10">
        <f ca="1">IF(AR_table!$D375&gt;=TODAY(),0,NETWORKDAYS(AR_table!$D375,TODAY()))</f>
        <v>0</v>
      </c>
      <c r="G375" s="13" t="str">
        <f ca="1">VLOOKUP(AR_table!$F375,aging_bucket[#All],2)</f>
        <v>Not due</v>
      </c>
    </row>
    <row r="376" spans="1:7" x14ac:dyDescent="0.3">
      <c r="A376" s="12" t="s">
        <v>366</v>
      </c>
      <c r="B376" s="10" t="s">
        <v>595</v>
      </c>
      <c r="C376" s="14">
        <v>45918</v>
      </c>
      <c r="D376" s="14">
        <f>WORKDAY(AR_table!$C376,$J$1)</f>
        <v>45960</v>
      </c>
      <c r="E376" s="15">
        <v>2767.09</v>
      </c>
      <c r="F376" s="10">
        <f ca="1">IF(AR_table!$D376&gt;=TODAY(),0,NETWORKDAYS(AR_table!$D376,TODAY()))</f>
        <v>75</v>
      </c>
      <c r="G376" s="10" t="str">
        <f ca="1">VLOOKUP(AR_table!$F376,aging_bucket[#All],2)</f>
        <v>61-90</v>
      </c>
    </row>
    <row r="377" spans="1:7" x14ac:dyDescent="0.3">
      <c r="A377" s="12" t="s">
        <v>367</v>
      </c>
      <c r="B377" s="10" t="s">
        <v>593</v>
      </c>
      <c r="C377" s="14">
        <v>45908</v>
      </c>
      <c r="D377" s="14">
        <f>WORKDAY(AR_table!$C377,$J$1)</f>
        <v>45950</v>
      </c>
      <c r="E377" s="15">
        <v>2776.14</v>
      </c>
      <c r="F377" s="10">
        <f ca="1">IF(AR_table!$D377&gt;=TODAY(),0,NETWORKDAYS(AR_table!$D377,TODAY()))</f>
        <v>83</v>
      </c>
      <c r="G377" s="10" t="str">
        <f ca="1">VLOOKUP(AR_table!$F377,aging_bucket[#All],2)</f>
        <v>61-90</v>
      </c>
    </row>
    <row r="378" spans="1:7" x14ac:dyDescent="0.3">
      <c r="A378" s="25" t="s">
        <v>368</v>
      </c>
      <c r="B378" s="13" t="s">
        <v>593</v>
      </c>
      <c r="C378" s="26">
        <v>45928</v>
      </c>
      <c r="D378" s="26">
        <f>WORKDAY(AR_table!$C378,$J$1)</f>
        <v>45968</v>
      </c>
      <c r="E378" s="27">
        <v>4256.9399999999996</v>
      </c>
      <c r="F378" s="10">
        <f ca="1">IF(AR_table!$D378&gt;=TODAY(),0,NETWORKDAYS(AR_table!$D378,TODAY()))</f>
        <v>69</v>
      </c>
      <c r="G378" s="13" t="str">
        <f ca="1">VLOOKUP(AR_table!$F378,aging_bucket[#All],2)</f>
        <v>61-90</v>
      </c>
    </row>
    <row r="379" spans="1:7" x14ac:dyDescent="0.3">
      <c r="A379" s="12" t="s">
        <v>369</v>
      </c>
      <c r="B379" s="10" t="s">
        <v>594</v>
      </c>
      <c r="C379" s="14">
        <v>45711</v>
      </c>
      <c r="D379" s="14">
        <f>WORKDAY(AR_table!$C379,$J$1)</f>
        <v>45751</v>
      </c>
      <c r="E379" s="15">
        <v>7675.1</v>
      </c>
      <c r="F379" s="10">
        <f ca="1">IF(AR_table!$D379&gt;=TODAY(),0,NETWORKDAYS(AR_table!$D379,TODAY()))</f>
        <v>224</v>
      </c>
      <c r="G379" s="10" t="str">
        <f ca="1">VLOOKUP(AR_table!$F379,aging_bucket[#All],2)</f>
        <v>&gt;90</v>
      </c>
    </row>
    <row r="380" spans="1:7" x14ac:dyDescent="0.3">
      <c r="A380" s="25" t="s">
        <v>370</v>
      </c>
      <c r="B380" s="13" t="s">
        <v>593</v>
      </c>
      <c r="C380" s="26">
        <v>45690</v>
      </c>
      <c r="D380" s="26">
        <f>WORKDAY(AR_table!$C380,$J$1)</f>
        <v>45730</v>
      </c>
      <c r="E380" s="27">
        <v>1561.55</v>
      </c>
      <c r="F380" s="10">
        <f ca="1">IF(AR_table!$D380&gt;=TODAY(),0,NETWORKDAYS(AR_table!$D380,TODAY()))</f>
        <v>239</v>
      </c>
      <c r="G380" s="13" t="str">
        <f ca="1">VLOOKUP(AR_table!$F380,aging_bucket[#All],2)</f>
        <v>&gt;90</v>
      </c>
    </row>
    <row r="381" spans="1:7" x14ac:dyDescent="0.3">
      <c r="A381" s="25" t="s">
        <v>371</v>
      </c>
      <c r="B381" s="13" t="s">
        <v>591</v>
      </c>
      <c r="C381" s="26">
        <v>46185</v>
      </c>
      <c r="D381" s="26">
        <f>WORKDAY(AR_table!$C381,$J$1)</f>
        <v>46227</v>
      </c>
      <c r="E381" s="27">
        <v>5171.99</v>
      </c>
      <c r="F381" s="10">
        <f ca="1">IF(AR_table!$D381&gt;=TODAY(),0,NETWORKDAYS(AR_table!$D381,TODAY()))</f>
        <v>0</v>
      </c>
      <c r="G381" s="13" t="str">
        <f ca="1">VLOOKUP(AR_table!$F381,aging_bucket[#All],2)</f>
        <v>Not due</v>
      </c>
    </row>
    <row r="382" spans="1:7" x14ac:dyDescent="0.3">
      <c r="A382" s="12" t="s">
        <v>372</v>
      </c>
      <c r="B382" s="10" t="s">
        <v>592</v>
      </c>
      <c r="C382" s="14">
        <v>45956</v>
      </c>
      <c r="D382" s="14">
        <f>WORKDAY(AR_table!$C382,$J$1)</f>
        <v>45996</v>
      </c>
      <c r="E382" s="15">
        <v>6132.23</v>
      </c>
      <c r="F382" s="10">
        <f ca="1">IF(AR_table!$D382&gt;=TODAY(),0,NETWORKDAYS(AR_table!$D382,TODAY()))</f>
        <v>49</v>
      </c>
      <c r="G382" s="10" t="str">
        <f ca="1">VLOOKUP(AR_table!$F382,aging_bucket[#All],2)</f>
        <v>31-60</v>
      </c>
    </row>
    <row r="383" spans="1:7" x14ac:dyDescent="0.3">
      <c r="A383" s="25" t="s">
        <v>373</v>
      </c>
      <c r="B383" s="13" t="s">
        <v>595</v>
      </c>
      <c r="C383" s="26">
        <v>45845</v>
      </c>
      <c r="D383" s="26">
        <f>WORKDAY(AR_table!$C383,$J$1)</f>
        <v>45887</v>
      </c>
      <c r="E383" s="27">
        <v>5228.9399999999996</v>
      </c>
      <c r="F383" s="10">
        <f ca="1">IF(AR_table!$D383&gt;=TODAY(),0,NETWORKDAYS(AR_table!$D383,TODAY()))</f>
        <v>128</v>
      </c>
      <c r="G383" s="13" t="str">
        <f ca="1">VLOOKUP(AR_table!$F383,aging_bucket[#All],2)</f>
        <v>&gt;90</v>
      </c>
    </row>
    <row r="384" spans="1:7" x14ac:dyDescent="0.3">
      <c r="A384" s="12" t="s">
        <v>374</v>
      </c>
      <c r="B384" s="10" t="s">
        <v>592</v>
      </c>
      <c r="C384" s="14">
        <v>45815</v>
      </c>
      <c r="D384" s="14">
        <f>WORKDAY(AR_table!$C384,$J$1)</f>
        <v>45856</v>
      </c>
      <c r="E384" s="15">
        <v>2406.41</v>
      </c>
      <c r="F384" s="10">
        <f ca="1">IF(AR_table!$D384&gt;=TODAY(),0,NETWORKDAYS(AR_table!$D384,TODAY()))</f>
        <v>149</v>
      </c>
      <c r="G384" s="10" t="str">
        <f ca="1">VLOOKUP(AR_table!$F384,aging_bucket[#All],2)</f>
        <v>&gt;90</v>
      </c>
    </row>
    <row r="385" spans="1:7" x14ac:dyDescent="0.3">
      <c r="A385" s="25" t="s">
        <v>375</v>
      </c>
      <c r="B385" s="13" t="s">
        <v>593</v>
      </c>
      <c r="C385" s="26">
        <v>45723</v>
      </c>
      <c r="D385" s="26">
        <f>WORKDAY(AR_table!$C385,$J$1)</f>
        <v>45765</v>
      </c>
      <c r="E385" s="27">
        <v>7118.9</v>
      </c>
      <c r="F385" s="10">
        <f ca="1">IF(AR_table!$D385&gt;=TODAY(),0,NETWORKDAYS(AR_table!$D385,TODAY()))</f>
        <v>214</v>
      </c>
      <c r="G385" s="13" t="str">
        <f ca="1">VLOOKUP(AR_table!$F385,aging_bucket[#All],2)</f>
        <v>&gt;90</v>
      </c>
    </row>
    <row r="386" spans="1:7" x14ac:dyDescent="0.3">
      <c r="A386" s="12" t="s">
        <v>376</v>
      </c>
      <c r="B386" s="10" t="s">
        <v>591</v>
      </c>
      <c r="C386" s="14">
        <v>46201</v>
      </c>
      <c r="D386" s="14">
        <f>WORKDAY(AR_table!$C386,$J$1)</f>
        <v>46241</v>
      </c>
      <c r="E386" s="15">
        <v>2548.35</v>
      </c>
      <c r="F386" s="10">
        <f ca="1">IF(AR_table!$D386&gt;=TODAY(),0,NETWORKDAYS(AR_table!$D386,TODAY()))</f>
        <v>0</v>
      </c>
      <c r="G386" s="10" t="str">
        <f ca="1">VLOOKUP(AR_table!$F386,aging_bucket[#All],2)</f>
        <v>Not due</v>
      </c>
    </row>
    <row r="387" spans="1:7" x14ac:dyDescent="0.3">
      <c r="A387" s="25" t="s">
        <v>377</v>
      </c>
      <c r="B387" s="13" t="s">
        <v>594</v>
      </c>
      <c r="C387" s="26">
        <v>45843</v>
      </c>
      <c r="D387" s="26">
        <f>WORKDAY(AR_table!$C387,$J$1)</f>
        <v>45884</v>
      </c>
      <c r="E387" s="27">
        <v>5346.99</v>
      </c>
      <c r="F387" s="10">
        <f ca="1">IF(AR_table!$D387&gt;=TODAY(),0,NETWORKDAYS(AR_table!$D387,TODAY()))</f>
        <v>129</v>
      </c>
      <c r="G387" s="13" t="str">
        <f ca="1">VLOOKUP(AR_table!$F387,aging_bucket[#All],2)</f>
        <v>&gt;90</v>
      </c>
    </row>
    <row r="388" spans="1:7" x14ac:dyDescent="0.3">
      <c r="A388" s="25" t="s">
        <v>378</v>
      </c>
      <c r="B388" s="13" t="s">
        <v>591</v>
      </c>
      <c r="C388" s="26">
        <v>45714</v>
      </c>
      <c r="D388" s="26">
        <f>WORKDAY(AR_table!$C388,$J$1)</f>
        <v>45756</v>
      </c>
      <c r="E388" s="27">
        <v>332.76</v>
      </c>
      <c r="F388" s="10">
        <f ca="1">IF(AR_table!$D388&gt;=TODAY(),0,NETWORKDAYS(AR_table!$D388,TODAY()))</f>
        <v>221</v>
      </c>
      <c r="G388" s="13" t="str">
        <f ca="1">VLOOKUP(AR_table!$F388,aging_bucket[#All],2)</f>
        <v>&gt;90</v>
      </c>
    </row>
    <row r="389" spans="1:7" x14ac:dyDescent="0.3">
      <c r="A389" s="25" t="s">
        <v>379</v>
      </c>
      <c r="B389" s="13" t="s">
        <v>591</v>
      </c>
      <c r="C389" s="26">
        <v>46057</v>
      </c>
      <c r="D389" s="26">
        <f>WORKDAY(AR_table!$C389,$J$1)</f>
        <v>46099</v>
      </c>
      <c r="E389" s="27">
        <v>1607</v>
      </c>
      <c r="F389" s="10">
        <f ca="1">IF(AR_table!$D389&gt;=TODAY(),0,NETWORKDAYS(AR_table!$D389,TODAY()))</f>
        <v>0</v>
      </c>
      <c r="G389" s="13" t="str">
        <f ca="1">VLOOKUP(AR_table!$F389,aging_bucket[#All],2)</f>
        <v>Not due</v>
      </c>
    </row>
    <row r="390" spans="1:7" x14ac:dyDescent="0.3">
      <c r="A390" s="12" t="s">
        <v>380</v>
      </c>
      <c r="B390" s="10" t="s">
        <v>591</v>
      </c>
      <c r="C390" s="14">
        <v>45664</v>
      </c>
      <c r="D390" s="14">
        <f>WORKDAY(AR_table!$C390,$J$1)</f>
        <v>45706</v>
      </c>
      <c r="E390" s="15">
        <v>2177.16</v>
      </c>
      <c r="F390" s="10">
        <f ca="1">IF(AR_table!$D390&gt;=TODAY(),0,NETWORKDAYS(AR_table!$D390,TODAY()))</f>
        <v>257</v>
      </c>
      <c r="G390" s="10" t="str">
        <f ca="1">VLOOKUP(AR_table!$F390,aging_bucket[#All],2)</f>
        <v>&gt;90</v>
      </c>
    </row>
    <row r="391" spans="1:7" x14ac:dyDescent="0.3">
      <c r="A391" s="12" t="s">
        <v>381</v>
      </c>
      <c r="B391" s="10" t="s">
        <v>593</v>
      </c>
      <c r="C391" s="14">
        <v>46126</v>
      </c>
      <c r="D391" s="14">
        <f>WORKDAY(AR_table!$C391,$J$1)</f>
        <v>46168</v>
      </c>
      <c r="E391" s="15">
        <v>1242.32</v>
      </c>
      <c r="F391" s="10">
        <f ca="1">IF(AR_table!$D391&gt;=TODAY(),0,NETWORKDAYS(AR_table!$D391,TODAY()))</f>
        <v>0</v>
      </c>
      <c r="G391" s="10" t="str">
        <f ca="1">VLOOKUP(AR_table!$F391,aging_bucket[#All],2)</f>
        <v>Not due</v>
      </c>
    </row>
    <row r="392" spans="1:7" x14ac:dyDescent="0.3">
      <c r="A392" s="25" t="s">
        <v>382</v>
      </c>
      <c r="B392" s="13" t="s">
        <v>593</v>
      </c>
      <c r="C392" s="26">
        <v>46041</v>
      </c>
      <c r="D392" s="26">
        <f>WORKDAY(AR_table!$C392,$J$1)</f>
        <v>46083</v>
      </c>
      <c r="E392" s="27">
        <v>4115.6400000000003</v>
      </c>
      <c r="F392" s="10">
        <f ca="1">IF(AR_table!$D392&gt;=TODAY(),0,NETWORKDAYS(AR_table!$D392,TODAY()))</f>
        <v>0</v>
      </c>
      <c r="G392" s="13" t="str">
        <f ca="1">VLOOKUP(AR_table!$F392,aging_bucket[#All],2)</f>
        <v>Not due</v>
      </c>
    </row>
    <row r="393" spans="1:7" x14ac:dyDescent="0.3">
      <c r="A393" s="12" t="s">
        <v>383</v>
      </c>
      <c r="B393" s="10" t="s">
        <v>592</v>
      </c>
      <c r="C393" s="14">
        <v>45970</v>
      </c>
      <c r="D393" s="14">
        <f>WORKDAY(AR_table!$C393,$J$1)</f>
        <v>46010</v>
      </c>
      <c r="E393" s="15">
        <v>7260.77</v>
      </c>
      <c r="F393" s="10">
        <f ca="1">IF(AR_table!$D393&gt;=TODAY(),0,NETWORKDAYS(AR_table!$D393,TODAY()))</f>
        <v>39</v>
      </c>
      <c r="G393" s="10" t="str">
        <f ca="1">VLOOKUP(AR_table!$F393,aging_bucket[#All],2)</f>
        <v>31-60</v>
      </c>
    </row>
    <row r="394" spans="1:7" x14ac:dyDescent="0.3">
      <c r="A394" s="12" t="s">
        <v>384</v>
      </c>
      <c r="B394" s="10" t="s">
        <v>595</v>
      </c>
      <c r="C394" s="14">
        <v>45699</v>
      </c>
      <c r="D394" s="14">
        <f>WORKDAY(AR_table!$C394,$J$1)</f>
        <v>45741</v>
      </c>
      <c r="E394" s="15">
        <v>6294.93</v>
      </c>
      <c r="F394" s="10">
        <f ca="1">IF(AR_table!$D394&gt;=TODAY(),0,NETWORKDAYS(AR_table!$D394,TODAY()))</f>
        <v>232</v>
      </c>
      <c r="G394" s="10" t="str">
        <f ca="1">VLOOKUP(AR_table!$F394,aging_bucket[#All],2)</f>
        <v>&gt;90</v>
      </c>
    </row>
    <row r="395" spans="1:7" x14ac:dyDescent="0.3">
      <c r="A395" s="25" t="s">
        <v>385</v>
      </c>
      <c r="B395" s="13" t="s">
        <v>592</v>
      </c>
      <c r="C395" s="26">
        <v>45984</v>
      </c>
      <c r="D395" s="26">
        <f>WORKDAY(AR_table!$C395,$J$1)</f>
        <v>46024</v>
      </c>
      <c r="E395" s="27">
        <v>4468.68</v>
      </c>
      <c r="F395" s="10">
        <f ca="1">IF(AR_table!$D395&gt;=TODAY(),0,NETWORKDAYS(AR_table!$D395,TODAY()))</f>
        <v>29</v>
      </c>
      <c r="G395" s="13" t="str">
        <f ca="1">VLOOKUP(AR_table!$F395,aging_bucket[#All],2)</f>
        <v>1-30</v>
      </c>
    </row>
    <row r="396" spans="1:7" x14ac:dyDescent="0.3">
      <c r="A396" s="12" t="s">
        <v>386</v>
      </c>
      <c r="B396" s="10" t="s">
        <v>592</v>
      </c>
      <c r="C396" s="14">
        <v>45954</v>
      </c>
      <c r="D396" s="14">
        <f>WORKDAY(AR_table!$C396,$J$1)</f>
        <v>45996</v>
      </c>
      <c r="E396" s="15">
        <v>240.09</v>
      </c>
      <c r="F396" s="10">
        <f ca="1">IF(AR_table!$D396&gt;=TODAY(),0,NETWORKDAYS(AR_table!$D396,TODAY()))</f>
        <v>49</v>
      </c>
      <c r="G396" s="10" t="str">
        <f ca="1">VLOOKUP(AR_table!$F396,aging_bucket[#All],2)</f>
        <v>31-60</v>
      </c>
    </row>
    <row r="397" spans="1:7" x14ac:dyDescent="0.3">
      <c r="A397" s="12" t="s">
        <v>387</v>
      </c>
      <c r="B397" s="10" t="s">
        <v>592</v>
      </c>
      <c r="C397" s="14">
        <v>45875</v>
      </c>
      <c r="D397" s="14">
        <f>WORKDAY(AR_table!$C397,$J$1)</f>
        <v>45917</v>
      </c>
      <c r="E397" s="15">
        <v>5527.3</v>
      </c>
      <c r="F397" s="10">
        <f ca="1">IF(AR_table!$D397&gt;=TODAY(),0,NETWORKDAYS(AR_table!$D397,TODAY()))</f>
        <v>106</v>
      </c>
      <c r="G397" s="10" t="str">
        <f ca="1">VLOOKUP(AR_table!$F397,aging_bucket[#All],2)</f>
        <v>&gt;90</v>
      </c>
    </row>
    <row r="398" spans="1:7" x14ac:dyDescent="0.3">
      <c r="A398" s="25" t="s">
        <v>388</v>
      </c>
      <c r="B398" s="13" t="s">
        <v>593</v>
      </c>
      <c r="C398" s="26">
        <v>45982</v>
      </c>
      <c r="D398" s="26">
        <f>WORKDAY(AR_table!$C398,$J$1)</f>
        <v>46024</v>
      </c>
      <c r="E398" s="27">
        <v>3629.15</v>
      </c>
      <c r="F398" s="10">
        <f ca="1">IF(AR_table!$D398&gt;=TODAY(),0,NETWORKDAYS(AR_table!$D398,TODAY()))</f>
        <v>29</v>
      </c>
      <c r="G398" s="13" t="str">
        <f ca="1">VLOOKUP(AR_table!$F398,aging_bucket[#All],2)</f>
        <v>1-30</v>
      </c>
    </row>
    <row r="399" spans="1:7" x14ac:dyDescent="0.3">
      <c r="A399" s="12" t="s">
        <v>389</v>
      </c>
      <c r="B399" s="10" t="s">
        <v>594</v>
      </c>
      <c r="C399" s="14">
        <v>45899</v>
      </c>
      <c r="D399" s="14">
        <f>WORKDAY(AR_table!$C399,$J$1)</f>
        <v>45940</v>
      </c>
      <c r="E399" s="15">
        <v>1194.05</v>
      </c>
      <c r="F399" s="10">
        <f ca="1">IF(AR_table!$D399&gt;=TODAY(),0,NETWORKDAYS(AR_table!$D399,TODAY()))</f>
        <v>89</v>
      </c>
      <c r="G399" s="10" t="str">
        <f ca="1">VLOOKUP(AR_table!$F399,aging_bucket[#All],2)</f>
        <v>61-90</v>
      </c>
    </row>
    <row r="400" spans="1:7" x14ac:dyDescent="0.3">
      <c r="A400" s="12" t="s">
        <v>390</v>
      </c>
      <c r="B400" s="10" t="s">
        <v>595</v>
      </c>
      <c r="C400" s="14">
        <v>45860</v>
      </c>
      <c r="D400" s="14">
        <f>WORKDAY(AR_table!$C400,$J$1)</f>
        <v>45902</v>
      </c>
      <c r="E400" s="15">
        <v>5091.8900000000003</v>
      </c>
      <c r="F400" s="10">
        <f ca="1">IF(AR_table!$D400&gt;=TODAY(),0,NETWORKDAYS(AR_table!$D400,TODAY()))</f>
        <v>117</v>
      </c>
      <c r="G400" s="10" t="str">
        <f ca="1">VLOOKUP(AR_table!$F400,aging_bucket[#All],2)</f>
        <v>&gt;90</v>
      </c>
    </row>
    <row r="401" spans="1:7" x14ac:dyDescent="0.3">
      <c r="A401" s="25" t="s">
        <v>391</v>
      </c>
      <c r="B401" s="13" t="s">
        <v>593</v>
      </c>
      <c r="C401" s="26">
        <v>45877</v>
      </c>
      <c r="D401" s="26">
        <f>WORKDAY(AR_table!$C401,$J$1)</f>
        <v>45919</v>
      </c>
      <c r="E401" s="27">
        <v>6072.8</v>
      </c>
      <c r="F401" s="10">
        <f ca="1">IF(AR_table!$D401&gt;=TODAY(),0,NETWORKDAYS(AR_table!$D401,TODAY()))</f>
        <v>104</v>
      </c>
      <c r="G401" s="13" t="str">
        <f ca="1">VLOOKUP(AR_table!$F401,aging_bucket[#All],2)</f>
        <v>&gt;90</v>
      </c>
    </row>
    <row r="402" spans="1:7" x14ac:dyDescent="0.3">
      <c r="A402" s="12" t="s">
        <v>392</v>
      </c>
      <c r="B402" s="10" t="s">
        <v>594</v>
      </c>
      <c r="C402" s="14">
        <v>45845</v>
      </c>
      <c r="D402" s="14">
        <f>WORKDAY(AR_table!$C402,$J$1)</f>
        <v>45887</v>
      </c>
      <c r="E402" s="15">
        <v>4904.74</v>
      </c>
      <c r="F402" s="10">
        <f ca="1">IF(AR_table!$D402&gt;=TODAY(),0,NETWORKDAYS(AR_table!$D402,TODAY()))</f>
        <v>128</v>
      </c>
      <c r="G402" s="10" t="str">
        <f ca="1">VLOOKUP(AR_table!$F402,aging_bucket[#All],2)</f>
        <v>&gt;90</v>
      </c>
    </row>
    <row r="403" spans="1:7" x14ac:dyDescent="0.3">
      <c r="A403" s="12" t="s">
        <v>393</v>
      </c>
      <c r="B403" s="10" t="s">
        <v>593</v>
      </c>
      <c r="C403" s="14">
        <v>45705</v>
      </c>
      <c r="D403" s="14">
        <f>WORKDAY(AR_table!$C403,$J$1)</f>
        <v>45747</v>
      </c>
      <c r="E403" s="15">
        <v>4297.46</v>
      </c>
      <c r="F403" s="10">
        <f ca="1">IF(AR_table!$D403&gt;=TODAY(),0,NETWORKDAYS(AR_table!$D403,TODAY()))</f>
        <v>228</v>
      </c>
      <c r="G403" s="10" t="str">
        <f ca="1">VLOOKUP(AR_table!$F403,aging_bucket[#All],2)</f>
        <v>&gt;90</v>
      </c>
    </row>
    <row r="404" spans="1:7" x14ac:dyDescent="0.3">
      <c r="A404" s="25" t="s">
        <v>394</v>
      </c>
      <c r="B404" s="13" t="s">
        <v>591</v>
      </c>
      <c r="C404" s="26">
        <v>45929</v>
      </c>
      <c r="D404" s="26">
        <f>WORKDAY(AR_table!$C404,$J$1)</f>
        <v>45971</v>
      </c>
      <c r="E404" s="27">
        <v>6265.82</v>
      </c>
      <c r="F404" s="10">
        <f ca="1">IF(AR_table!$D404&gt;=TODAY(),0,NETWORKDAYS(AR_table!$D404,TODAY()))</f>
        <v>68</v>
      </c>
      <c r="G404" s="13" t="str">
        <f ca="1">VLOOKUP(AR_table!$F404,aging_bucket[#All],2)</f>
        <v>61-90</v>
      </c>
    </row>
    <row r="405" spans="1:7" x14ac:dyDescent="0.3">
      <c r="A405" s="25" t="s">
        <v>395</v>
      </c>
      <c r="B405" s="13" t="s">
        <v>591</v>
      </c>
      <c r="C405" s="26">
        <v>45828</v>
      </c>
      <c r="D405" s="26">
        <f>WORKDAY(AR_table!$C405,$J$1)</f>
        <v>45870</v>
      </c>
      <c r="E405" s="27">
        <v>2594.04</v>
      </c>
      <c r="F405" s="10">
        <f ca="1">IF(AR_table!$D405&gt;=TODAY(),0,NETWORKDAYS(AR_table!$D405,TODAY()))</f>
        <v>139</v>
      </c>
      <c r="G405" s="13" t="str">
        <f ca="1">VLOOKUP(AR_table!$F405,aging_bucket[#All],2)</f>
        <v>&gt;90</v>
      </c>
    </row>
    <row r="406" spans="1:7" x14ac:dyDescent="0.3">
      <c r="A406" s="12" t="s">
        <v>396</v>
      </c>
      <c r="B406" s="10" t="s">
        <v>594</v>
      </c>
      <c r="C406" s="14">
        <v>45672</v>
      </c>
      <c r="D406" s="14">
        <f>WORKDAY(AR_table!$C406,$J$1)</f>
        <v>45714</v>
      </c>
      <c r="E406" s="15">
        <v>3492.88</v>
      </c>
      <c r="F406" s="10">
        <f ca="1">IF(AR_table!$D406&gt;=TODAY(),0,NETWORKDAYS(AR_table!$D406,TODAY()))</f>
        <v>251</v>
      </c>
      <c r="G406" s="10" t="str">
        <f ca="1">VLOOKUP(AR_table!$F406,aging_bucket[#All],2)</f>
        <v>&gt;90</v>
      </c>
    </row>
    <row r="407" spans="1:7" x14ac:dyDescent="0.3">
      <c r="A407" s="25" t="s">
        <v>397</v>
      </c>
      <c r="B407" s="13" t="s">
        <v>591</v>
      </c>
      <c r="C407" s="26">
        <v>46143</v>
      </c>
      <c r="D407" s="26">
        <f>WORKDAY(AR_table!$C407,$J$1)</f>
        <v>46185</v>
      </c>
      <c r="E407" s="27">
        <v>6733.21</v>
      </c>
      <c r="F407" s="10">
        <f ca="1">IF(AR_table!$D407&gt;=TODAY(),0,NETWORKDAYS(AR_table!$D407,TODAY()))</f>
        <v>0</v>
      </c>
      <c r="G407" s="13" t="str">
        <f ca="1">VLOOKUP(AR_table!$F407,aging_bucket[#All],2)</f>
        <v>Not due</v>
      </c>
    </row>
    <row r="408" spans="1:7" x14ac:dyDescent="0.3">
      <c r="A408" s="12" t="s">
        <v>398</v>
      </c>
      <c r="B408" s="10" t="s">
        <v>595</v>
      </c>
      <c r="C408" s="14">
        <v>45671</v>
      </c>
      <c r="D408" s="14">
        <f>WORKDAY(AR_table!$C408,$J$1)</f>
        <v>45713</v>
      </c>
      <c r="E408" s="15">
        <v>392.35</v>
      </c>
      <c r="F408" s="10">
        <f ca="1">IF(AR_table!$D408&gt;=TODAY(),0,NETWORKDAYS(AR_table!$D408,TODAY()))</f>
        <v>252</v>
      </c>
      <c r="G408" s="10" t="str">
        <f ca="1">VLOOKUP(AR_table!$F408,aging_bucket[#All],2)</f>
        <v>&gt;90</v>
      </c>
    </row>
    <row r="409" spans="1:7" x14ac:dyDescent="0.3">
      <c r="A409" s="25" t="s">
        <v>399</v>
      </c>
      <c r="B409" s="13" t="s">
        <v>593</v>
      </c>
      <c r="C409" s="26">
        <v>45740</v>
      </c>
      <c r="D409" s="26">
        <f>WORKDAY(AR_table!$C409,$J$1)</f>
        <v>45782</v>
      </c>
      <c r="E409" s="27">
        <v>372.39</v>
      </c>
      <c r="F409" s="10">
        <f ca="1">IF(AR_table!$D409&gt;=TODAY(),0,NETWORKDAYS(AR_table!$D409,TODAY()))</f>
        <v>203</v>
      </c>
      <c r="G409" s="13" t="str">
        <f ca="1">VLOOKUP(AR_table!$F409,aging_bucket[#All],2)</f>
        <v>&gt;90</v>
      </c>
    </row>
    <row r="410" spans="1:7" x14ac:dyDescent="0.3">
      <c r="A410" s="12" t="s">
        <v>400</v>
      </c>
      <c r="B410" s="10" t="s">
        <v>595</v>
      </c>
      <c r="C410" s="14">
        <v>45664</v>
      </c>
      <c r="D410" s="14">
        <f>WORKDAY(AR_table!$C410,$J$1)</f>
        <v>45706</v>
      </c>
      <c r="E410" s="15">
        <v>5066.4799999999996</v>
      </c>
      <c r="F410" s="10">
        <f ca="1">IF(AR_table!$D410&gt;=TODAY(),0,NETWORKDAYS(AR_table!$D410,TODAY()))</f>
        <v>257</v>
      </c>
      <c r="G410" s="10" t="str">
        <f ca="1">VLOOKUP(AR_table!$F410,aging_bucket[#All],2)</f>
        <v>&gt;90</v>
      </c>
    </row>
    <row r="411" spans="1:7" x14ac:dyDescent="0.3">
      <c r="A411" s="25" t="s">
        <v>401</v>
      </c>
      <c r="B411" s="13" t="s">
        <v>591</v>
      </c>
      <c r="C411" s="26">
        <v>46169</v>
      </c>
      <c r="D411" s="26">
        <f>WORKDAY(AR_table!$C411,$J$1)</f>
        <v>46211</v>
      </c>
      <c r="E411" s="27">
        <v>2397.25</v>
      </c>
      <c r="F411" s="10">
        <f ca="1">IF(AR_table!$D411&gt;=TODAY(),0,NETWORKDAYS(AR_table!$D411,TODAY()))</f>
        <v>0</v>
      </c>
      <c r="G411" s="13" t="str">
        <f ca="1">VLOOKUP(AR_table!$F411,aging_bucket[#All],2)</f>
        <v>Not due</v>
      </c>
    </row>
    <row r="412" spans="1:7" x14ac:dyDescent="0.3">
      <c r="A412" s="12" t="s">
        <v>402</v>
      </c>
      <c r="B412" s="10" t="s">
        <v>592</v>
      </c>
      <c r="C412" s="14">
        <v>45851</v>
      </c>
      <c r="D412" s="14">
        <f>WORKDAY(AR_table!$C412,$J$1)</f>
        <v>45891</v>
      </c>
      <c r="E412" s="15">
        <v>1999.63</v>
      </c>
      <c r="F412" s="10">
        <f ca="1">IF(AR_table!$D412&gt;=TODAY(),0,NETWORKDAYS(AR_table!$D412,TODAY()))</f>
        <v>124</v>
      </c>
      <c r="G412" s="10" t="str">
        <f ca="1">VLOOKUP(AR_table!$F412,aging_bucket[#All],2)</f>
        <v>&gt;90</v>
      </c>
    </row>
    <row r="413" spans="1:7" x14ac:dyDescent="0.3">
      <c r="A413" s="12" t="s">
        <v>403</v>
      </c>
      <c r="B413" s="10" t="s">
        <v>593</v>
      </c>
      <c r="C413" s="14">
        <v>45767</v>
      </c>
      <c r="D413" s="14">
        <f>WORKDAY(AR_table!$C413,$J$1)</f>
        <v>45807</v>
      </c>
      <c r="E413" s="15">
        <v>594.48</v>
      </c>
      <c r="F413" s="10">
        <f ca="1">IF(AR_table!$D413&gt;=TODAY(),0,NETWORKDAYS(AR_table!$D413,TODAY()))</f>
        <v>184</v>
      </c>
      <c r="G413" s="10" t="str">
        <f ca="1">VLOOKUP(AR_table!$F413,aging_bucket[#All],2)</f>
        <v>&gt;90</v>
      </c>
    </row>
    <row r="414" spans="1:7" x14ac:dyDescent="0.3">
      <c r="A414" s="25" t="s">
        <v>404</v>
      </c>
      <c r="B414" s="13" t="s">
        <v>592</v>
      </c>
      <c r="C414" s="26">
        <v>45912</v>
      </c>
      <c r="D414" s="26">
        <f>WORKDAY(AR_table!$C414,$J$1)</f>
        <v>45954</v>
      </c>
      <c r="E414" s="27">
        <v>6539.17</v>
      </c>
      <c r="F414" s="10">
        <f ca="1">IF(AR_table!$D414&gt;=TODAY(),0,NETWORKDAYS(AR_table!$D414,TODAY()))</f>
        <v>79</v>
      </c>
      <c r="G414" s="13" t="str">
        <f ca="1">VLOOKUP(AR_table!$F414,aging_bucket[#All],2)</f>
        <v>61-90</v>
      </c>
    </row>
    <row r="415" spans="1:7" x14ac:dyDescent="0.3">
      <c r="A415" s="12" t="s">
        <v>405</v>
      </c>
      <c r="B415" s="10" t="s">
        <v>592</v>
      </c>
      <c r="C415" s="14">
        <v>45749</v>
      </c>
      <c r="D415" s="14">
        <f>WORKDAY(AR_table!$C415,$J$1)</f>
        <v>45791</v>
      </c>
      <c r="E415" s="15">
        <v>6898.03</v>
      </c>
      <c r="F415" s="10">
        <f ca="1">IF(AR_table!$D415&gt;=TODAY(),0,NETWORKDAYS(AR_table!$D415,TODAY()))</f>
        <v>196</v>
      </c>
      <c r="G415" s="10" t="str">
        <f ca="1">VLOOKUP(AR_table!$F415,aging_bucket[#All],2)</f>
        <v>&gt;90</v>
      </c>
    </row>
    <row r="416" spans="1:7" x14ac:dyDescent="0.3">
      <c r="A416" s="25" t="s">
        <v>406</v>
      </c>
      <c r="B416" s="13" t="s">
        <v>591</v>
      </c>
      <c r="C416" s="26">
        <v>45670</v>
      </c>
      <c r="D416" s="26">
        <f>WORKDAY(AR_table!$C416,$J$1)</f>
        <v>45712</v>
      </c>
      <c r="E416" s="27">
        <v>1278.8699999999999</v>
      </c>
      <c r="F416" s="10">
        <f ca="1">IF(AR_table!$D416&gt;=TODAY(),0,NETWORKDAYS(AR_table!$D416,TODAY()))</f>
        <v>253</v>
      </c>
      <c r="G416" s="13" t="str">
        <f ca="1">VLOOKUP(AR_table!$F416,aging_bucket[#All],2)</f>
        <v>&gt;90</v>
      </c>
    </row>
    <row r="417" spans="1:7" x14ac:dyDescent="0.3">
      <c r="A417" s="25" t="s">
        <v>407</v>
      </c>
      <c r="B417" s="13" t="s">
        <v>591</v>
      </c>
      <c r="C417" s="26">
        <v>45951</v>
      </c>
      <c r="D417" s="26">
        <f>WORKDAY(AR_table!$C417,$J$1)</f>
        <v>45993</v>
      </c>
      <c r="E417" s="27">
        <v>2262.88</v>
      </c>
      <c r="F417" s="10">
        <f ca="1">IF(AR_table!$D417&gt;=TODAY(),0,NETWORKDAYS(AR_table!$D417,TODAY()))</f>
        <v>52</v>
      </c>
      <c r="G417" s="13" t="str">
        <f ca="1">VLOOKUP(AR_table!$F417,aging_bucket[#All],2)</f>
        <v>31-60</v>
      </c>
    </row>
    <row r="418" spans="1:7" x14ac:dyDescent="0.3">
      <c r="A418" s="12" t="s">
        <v>408</v>
      </c>
      <c r="B418" s="10" t="s">
        <v>594</v>
      </c>
      <c r="C418" s="14">
        <v>45828</v>
      </c>
      <c r="D418" s="14">
        <f>WORKDAY(AR_table!$C418,$J$1)</f>
        <v>45870</v>
      </c>
      <c r="E418" s="15">
        <v>839.79</v>
      </c>
      <c r="F418" s="10">
        <f ca="1">IF(AR_table!$D418&gt;=TODAY(),0,NETWORKDAYS(AR_table!$D418,TODAY()))</f>
        <v>139</v>
      </c>
      <c r="G418" s="10" t="str">
        <f ca="1">VLOOKUP(AR_table!$F418,aging_bucket[#All],2)</f>
        <v>&gt;90</v>
      </c>
    </row>
    <row r="419" spans="1:7" x14ac:dyDescent="0.3">
      <c r="A419" s="25" t="s">
        <v>409</v>
      </c>
      <c r="B419" s="13" t="s">
        <v>595</v>
      </c>
      <c r="C419" s="26">
        <v>45939</v>
      </c>
      <c r="D419" s="26">
        <f>WORKDAY(AR_table!$C419,$J$1)</f>
        <v>45981</v>
      </c>
      <c r="E419" s="27">
        <v>1981.78</v>
      </c>
      <c r="F419" s="10">
        <f ca="1">IF(AR_table!$D419&gt;=TODAY(),0,NETWORKDAYS(AR_table!$D419,TODAY()))</f>
        <v>60</v>
      </c>
      <c r="G419" s="13" t="str">
        <f ca="1">VLOOKUP(AR_table!$F419,aging_bucket[#All],2)</f>
        <v>31-60</v>
      </c>
    </row>
    <row r="420" spans="1:7" x14ac:dyDescent="0.3">
      <c r="A420" s="12" t="s">
        <v>410</v>
      </c>
      <c r="B420" s="10" t="s">
        <v>591</v>
      </c>
      <c r="C420" s="14">
        <v>45779</v>
      </c>
      <c r="D420" s="14">
        <f>WORKDAY(AR_table!$C420,$J$1)</f>
        <v>45821</v>
      </c>
      <c r="E420" s="15">
        <v>1214.1099999999999</v>
      </c>
      <c r="F420" s="10">
        <f ca="1">IF(AR_table!$D420&gt;=TODAY(),0,NETWORKDAYS(AR_table!$D420,TODAY()))</f>
        <v>174</v>
      </c>
      <c r="G420" s="10" t="str">
        <f ca="1">VLOOKUP(AR_table!$F420,aging_bucket[#All],2)</f>
        <v>&gt;90</v>
      </c>
    </row>
    <row r="421" spans="1:7" x14ac:dyDescent="0.3">
      <c r="A421" s="12" t="s">
        <v>411</v>
      </c>
      <c r="B421" s="10" t="s">
        <v>593</v>
      </c>
      <c r="C421" s="14">
        <v>45974</v>
      </c>
      <c r="D421" s="14">
        <f>WORKDAY(AR_table!$C421,$J$1)</f>
        <v>46016</v>
      </c>
      <c r="E421" s="15">
        <v>7029.41</v>
      </c>
      <c r="F421" s="10">
        <f ca="1">IF(AR_table!$D421&gt;=TODAY(),0,NETWORKDAYS(AR_table!$D421,TODAY()))</f>
        <v>35</v>
      </c>
      <c r="G421" s="10" t="str">
        <f ca="1">VLOOKUP(AR_table!$F421,aging_bucket[#All],2)</f>
        <v>31-60</v>
      </c>
    </row>
    <row r="422" spans="1:7" x14ac:dyDescent="0.3">
      <c r="A422" s="25" t="s">
        <v>412</v>
      </c>
      <c r="B422" s="13" t="s">
        <v>591</v>
      </c>
      <c r="C422" s="26">
        <v>45905</v>
      </c>
      <c r="D422" s="26">
        <f>WORKDAY(AR_table!$C422,$J$1)</f>
        <v>45947</v>
      </c>
      <c r="E422" s="27">
        <v>4527.1099999999997</v>
      </c>
      <c r="F422" s="10">
        <f ca="1">IF(AR_table!$D422&gt;=TODAY(),0,NETWORKDAYS(AR_table!$D422,TODAY()))</f>
        <v>84</v>
      </c>
      <c r="G422" s="13" t="str">
        <f ca="1">VLOOKUP(AR_table!$F422,aging_bucket[#All],2)</f>
        <v>61-90</v>
      </c>
    </row>
    <row r="423" spans="1:7" x14ac:dyDescent="0.3">
      <c r="A423" s="12" t="s">
        <v>413</v>
      </c>
      <c r="B423" s="10" t="s">
        <v>592</v>
      </c>
      <c r="C423" s="14">
        <v>45788</v>
      </c>
      <c r="D423" s="14">
        <f>WORKDAY(AR_table!$C423,$J$1)</f>
        <v>45828</v>
      </c>
      <c r="E423" s="15">
        <v>6525.23</v>
      </c>
      <c r="F423" s="10">
        <f ca="1">IF(AR_table!$D423&gt;=TODAY(),0,NETWORKDAYS(AR_table!$D423,TODAY()))</f>
        <v>169</v>
      </c>
      <c r="G423" s="10" t="str">
        <f ca="1">VLOOKUP(AR_table!$F423,aging_bucket[#All],2)</f>
        <v>&gt;90</v>
      </c>
    </row>
    <row r="424" spans="1:7" x14ac:dyDescent="0.3">
      <c r="A424" s="12" t="s">
        <v>414</v>
      </c>
      <c r="B424" s="10" t="s">
        <v>595</v>
      </c>
      <c r="C424" s="14">
        <v>46072</v>
      </c>
      <c r="D424" s="14">
        <f>WORKDAY(AR_table!$C424,$J$1)</f>
        <v>46114</v>
      </c>
      <c r="E424" s="15">
        <v>1942.51</v>
      </c>
      <c r="F424" s="10">
        <f ca="1">IF(AR_table!$D424&gt;=TODAY(),0,NETWORKDAYS(AR_table!$D424,TODAY()))</f>
        <v>0</v>
      </c>
      <c r="G424" s="10" t="str">
        <f ca="1">VLOOKUP(AR_table!$F424,aging_bucket[#All],2)</f>
        <v>Not due</v>
      </c>
    </row>
    <row r="425" spans="1:7" x14ac:dyDescent="0.3">
      <c r="A425" s="25" t="s">
        <v>415</v>
      </c>
      <c r="B425" s="13" t="s">
        <v>591</v>
      </c>
      <c r="C425" s="26">
        <v>45972</v>
      </c>
      <c r="D425" s="26">
        <f>WORKDAY(AR_table!$C425,$J$1)</f>
        <v>46014</v>
      </c>
      <c r="E425" s="27">
        <v>5154.78</v>
      </c>
      <c r="F425" s="10">
        <f ca="1">IF(AR_table!$D425&gt;=TODAY(),0,NETWORKDAYS(AR_table!$D425,TODAY()))</f>
        <v>37</v>
      </c>
      <c r="G425" s="13" t="str">
        <f ca="1">VLOOKUP(AR_table!$F425,aging_bucket[#All],2)</f>
        <v>31-60</v>
      </c>
    </row>
    <row r="426" spans="1:7" x14ac:dyDescent="0.3">
      <c r="A426" s="12" t="s">
        <v>416</v>
      </c>
      <c r="B426" s="10" t="s">
        <v>593</v>
      </c>
      <c r="C426" s="14">
        <v>45857</v>
      </c>
      <c r="D426" s="14">
        <f>WORKDAY(AR_table!$C426,$J$1)</f>
        <v>45898</v>
      </c>
      <c r="E426" s="15">
        <v>2001.78</v>
      </c>
      <c r="F426" s="10">
        <f ca="1">IF(AR_table!$D426&gt;=TODAY(),0,NETWORKDAYS(AR_table!$D426,TODAY()))</f>
        <v>119</v>
      </c>
      <c r="G426" s="10" t="str">
        <f ca="1">VLOOKUP(AR_table!$F426,aging_bucket[#All],2)</f>
        <v>&gt;90</v>
      </c>
    </row>
    <row r="427" spans="1:7" x14ac:dyDescent="0.3">
      <c r="A427" s="25" t="s">
        <v>417</v>
      </c>
      <c r="B427" s="13" t="s">
        <v>591</v>
      </c>
      <c r="C427" s="26">
        <v>45957</v>
      </c>
      <c r="D427" s="26">
        <f>WORKDAY(AR_table!$C427,$J$1)</f>
        <v>45999</v>
      </c>
      <c r="E427" s="27">
        <v>2090.41</v>
      </c>
      <c r="F427" s="10">
        <f ca="1">IF(AR_table!$D427&gt;=TODAY(),0,NETWORKDAYS(AR_table!$D427,TODAY()))</f>
        <v>48</v>
      </c>
      <c r="G427" s="13" t="str">
        <f ca="1">VLOOKUP(AR_table!$F427,aging_bucket[#All],2)</f>
        <v>31-60</v>
      </c>
    </row>
    <row r="428" spans="1:7" x14ac:dyDescent="0.3">
      <c r="A428" s="12" t="s">
        <v>418</v>
      </c>
      <c r="B428" s="10" t="s">
        <v>595</v>
      </c>
      <c r="C428" s="14">
        <v>45839</v>
      </c>
      <c r="D428" s="14">
        <f>WORKDAY(AR_table!$C428,$J$1)</f>
        <v>45881</v>
      </c>
      <c r="E428" s="15">
        <v>7964.05</v>
      </c>
      <c r="F428" s="10">
        <f ca="1">IF(AR_table!$D428&gt;=TODAY(),0,NETWORKDAYS(AR_table!$D428,TODAY()))</f>
        <v>132</v>
      </c>
      <c r="G428" s="10" t="str">
        <f ca="1">VLOOKUP(AR_table!$F428,aging_bucket[#All],2)</f>
        <v>&gt;90</v>
      </c>
    </row>
    <row r="429" spans="1:7" x14ac:dyDescent="0.3">
      <c r="A429" s="25" t="s">
        <v>419</v>
      </c>
      <c r="B429" s="13" t="s">
        <v>593</v>
      </c>
      <c r="C429" s="26">
        <v>46125</v>
      </c>
      <c r="D429" s="26">
        <f>WORKDAY(AR_table!$C429,$J$1)</f>
        <v>46167</v>
      </c>
      <c r="E429" s="27">
        <v>1540.79</v>
      </c>
      <c r="F429" s="10">
        <f ca="1">IF(AR_table!$D429&gt;=TODAY(),0,NETWORKDAYS(AR_table!$D429,TODAY()))</f>
        <v>0</v>
      </c>
      <c r="G429" s="13" t="str">
        <f ca="1">VLOOKUP(AR_table!$F429,aging_bucket[#All],2)</f>
        <v>Not due</v>
      </c>
    </row>
    <row r="430" spans="1:7" x14ac:dyDescent="0.3">
      <c r="A430" s="12" t="s">
        <v>420</v>
      </c>
      <c r="B430" s="10" t="s">
        <v>594</v>
      </c>
      <c r="C430" s="14">
        <v>46133</v>
      </c>
      <c r="D430" s="14">
        <f>WORKDAY(AR_table!$C430,$J$1)</f>
        <v>46175</v>
      </c>
      <c r="E430" s="15">
        <v>1933.33</v>
      </c>
      <c r="F430" s="10">
        <f ca="1">IF(AR_table!$D430&gt;=TODAY(),0,NETWORKDAYS(AR_table!$D430,TODAY()))</f>
        <v>0</v>
      </c>
      <c r="G430" s="10" t="str">
        <f ca="1">VLOOKUP(AR_table!$F430,aging_bucket[#All],2)</f>
        <v>Not due</v>
      </c>
    </row>
    <row r="431" spans="1:7" x14ac:dyDescent="0.3">
      <c r="A431" s="25" t="s">
        <v>421</v>
      </c>
      <c r="B431" s="13" t="s">
        <v>592</v>
      </c>
      <c r="C431" s="26">
        <v>45902</v>
      </c>
      <c r="D431" s="26">
        <f>WORKDAY(AR_table!$C431,$J$1)</f>
        <v>45944</v>
      </c>
      <c r="E431" s="27">
        <v>458.58</v>
      </c>
      <c r="F431" s="10">
        <f ca="1">IF(AR_table!$D431&gt;=TODAY(),0,NETWORKDAYS(AR_table!$D431,TODAY()))</f>
        <v>87</v>
      </c>
      <c r="G431" s="13" t="str">
        <f ca="1">VLOOKUP(AR_table!$F431,aging_bucket[#All],2)</f>
        <v>61-90</v>
      </c>
    </row>
    <row r="432" spans="1:7" x14ac:dyDescent="0.3">
      <c r="A432" s="12" t="s">
        <v>422</v>
      </c>
      <c r="B432" s="10" t="s">
        <v>594</v>
      </c>
      <c r="C432" s="14">
        <v>46202</v>
      </c>
      <c r="D432" s="14">
        <f>WORKDAY(AR_table!$C432,$J$1)</f>
        <v>46244</v>
      </c>
      <c r="E432" s="15">
        <v>5760.56</v>
      </c>
      <c r="F432" s="10">
        <f ca="1">IF(AR_table!$D432&gt;=TODAY(),0,NETWORKDAYS(AR_table!$D432,TODAY()))</f>
        <v>0</v>
      </c>
      <c r="G432" s="10" t="str">
        <f ca="1">VLOOKUP(AR_table!$F432,aging_bucket[#All],2)</f>
        <v>Not due</v>
      </c>
    </row>
    <row r="433" spans="1:7" x14ac:dyDescent="0.3">
      <c r="A433" s="25" t="s">
        <v>423</v>
      </c>
      <c r="B433" s="13" t="s">
        <v>592</v>
      </c>
      <c r="C433" s="26">
        <v>46182</v>
      </c>
      <c r="D433" s="26">
        <f>WORKDAY(AR_table!$C433,$J$1)</f>
        <v>46224</v>
      </c>
      <c r="E433" s="27">
        <v>1719.86</v>
      </c>
      <c r="F433" s="10">
        <f ca="1">IF(AR_table!$D433&gt;=TODAY(),0,NETWORKDAYS(AR_table!$D433,TODAY()))</f>
        <v>0</v>
      </c>
      <c r="G433" s="13" t="str">
        <f ca="1">VLOOKUP(AR_table!$F433,aging_bucket[#All],2)</f>
        <v>Not due</v>
      </c>
    </row>
    <row r="434" spans="1:7" x14ac:dyDescent="0.3">
      <c r="A434" s="12" t="s">
        <v>424</v>
      </c>
      <c r="B434" s="10" t="s">
        <v>594</v>
      </c>
      <c r="C434" s="14">
        <v>46090</v>
      </c>
      <c r="D434" s="14">
        <f>WORKDAY(AR_table!$C434,$J$1)</f>
        <v>46132</v>
      </c>
      <c r="E434" s="15">
        <v>6756.99</v>
      </c>
      <c r="F434" s="10">
        <f ca="1">IF(AR_table!$D434&gt;=TODAY(),0,NETWORKDAYS(AR_table!$D434,TODAY()))</f>
        <v>0</v>
      </c>
      <c r="G434" s="10" t="str">
        <f ca="1">VLOOKUP(AR_table!$F434,aging_bucket[#All],2)</f>
        <v>Not due</v>
      </c>
    </row>
    <row r="435" spans="1:7" x14ac:dyDescent="0.3">
      <c r="A435" s="25" t="s">
        <v>425</v>
      </c>
      <c r="B435" s="13" t="s">
        <v>591</v>
      </c>
      <c r="C435" s="26">
        <v>45971</v>
      </c>
      <c r="D435" s="26">
        <f>WORKDAY(AR_table!$C435,$J$1)</f>
        <v>46013</v>
      </c>
      <c r="E435" s="27">
        <v>4654.32</v>
      </c>
      <c r="F435" s="10">
        <f ca="1">IF(AR_table!$D435&gt;=TODAY(),0,NETWORKDAYS(AR_table!$D435,TODAY()))</f>
        <v>38</v>
      </c>
      <c r="G435" s="13" t="str">
        <f ca="1">VLOOKUP(AR_table!$F435,aging_bucket[#All],2)</f>
        <v>31-60</v>
      </c>
    </row>
    <row r="436" spans="1:7" x14ac:dyDescent="0.3">
      <c r="A436" s="12" t="s">
        <v>426</v>
      </c>
      <c r="B436" s="10" t="s">
        <v>594</v>
      </c>
      <c r="C436" s="14">
        <v>45936</v>
      </c>
      <c r="D436" s="14">
        <f>WORKDAY(AR_table!$C436,$J$1)</f>
        <v>45978</v>
      </c>
      <c r="E436" s="15">
        <v>3915.77</v>
      </c>
      <c r="F436" s="10">
        <f ca="1">IF(AR_table!$D436&gt;=TODAY(),0,NETWORKDAYS(AR_table!$D436,TODAY()))</f>
        <v>63</v>
      </c>
      <c r="G436" s="10" t="str">
        <f ca="1">VLOOKUP(AR_table!$F436,aging_bucket[#All],2)</f>
        <v>61-90</v>
      </c>
    </row>
    <row r="437" spans="1:7" x14ac:dyDescent="0.3">
      <c r="A437" s="12" t="s">
        <v>427</v>
      </c>
      <c r="B437" s="10" t="s">
        <v>594</v>
      </c>
      <c r="C437" s="14">
        <v>45889</v>
      </c>
      <c r="D437" s="14">
        <f>WORKDAY(AR_table!$C437,$J$1)</f>
        <v>45931</v>
      </c>
      <c r="E437" s="15">
        <v>745.71</v>
      </c>
      <c r="F437" s="10">
        <f ca="1">IF(AR_table!$D437&gt;=TODAY(),0,NETWORKDAYS(AR_table!$D437,TODAY()))</f>
        <v>96</v>
      </c>
      <c r="G437" s="10" t="str">
        <f ca="1">VLOOKUP(AR_table!$F437,aging_bucket[#All],2)</f>
        <v>&gt;90</v>
      </c>
    </row>
    <row r="438" spans="1:7" x14ac:dyDescent="0.3">
      <c r="A438" s="12" t="s">
        <v>428</v>
      </c>
      <c r="B438" s="10" t="s">
        <v>591</v>
      </c>
      <c r="C438" s="14">
        <v>45917</v>
      </c>
      <c r="D438" s="14">
        <f>WORKDAY(AR_table!$C438,$J$1)</f>
        <v>45959</v>
      </c>
      <c r="E438" s="15">
        <v>4831.9799999999996</v>
      </c>
      <c r="F438" s="10">
        <f ca="1">IF(AR_table!$D438&gt;=TODAY(),0,NETWORKDAYS(AR_table!$D438,TODAY()))</f>
        <v>76</v>
      </c>
      <c r="G438" s="10" t="str">
        <f ca="1">VLOOKUP(AR_table!$F438,aging_bucket[#All],2)</f>
        <v>61-90</v>
      </c>
    </row>
    <row r="439" spans="1:7" x14ac:dyDescent="0.3">
      <c r="A439" s="25" t="s">
        <v>429</v>
      </c>
      <c r="B439" s="13" t="s">
        <v>592</v>
      </c>
      <c r="C439" s="26">
        <v>45660</v>
      </c>
      <c r="D439" s="26">
        <f>WORKDAY(AR_table!$C439,$J$1)</f>
        <v>45702</v>
      </c>
      <c r="E439" s="27">
        <v>1606.99</v>
      </c>
      <c r="F439" s="10">
        <f ca="1">IF(AR_table!$D439&gt;=TODAY(),0,NETWORKDAYS(AR_table!$D439,TODAY()))</f>
        <v>259</v>
      </c>
      <c r="G439" s="13" t="str">
        <f ca="1">VLOOKUP(AR_table!$F439,aging_bucket[#All],2)</f>
        <v>&gt;90</v>
      </c>
    </row>
    <row r="440" spans="1:7" x14ac:dyDescent="0.3">
      <c r="A440" s="12" t="s">
        <v>430</v>
      </c>
      <c r="B440" s="10" t="s">
        <v>594</v>
      </c>
      <c r="C440" s="14">
        <v>45664</v>
      </c>
      <c r="D440" s="14">
        <f>WORKDAY(AR_table!$C440,$J$1)</f>
        <v>45706</v>
      </c>
      <c r="E440" s="15">
        <v>243.81</v>
      </c>
      <c r="F440" s="10">
        <f ca="1">IF(AR_table!$D440&gt;=TODAY(),0,NETWORKDAYS(AR_table!$D440,TODAY()))</f>
        <v>257</v>
      </c>
      <c r="G440" s="10" t="str">
        <f ca="1">VLOOKUP(AR_table!$F440,aging_bucket[#All],2)</f>
        <v>&gt;90</v>
      </c>
    </row>
    <row r="441" spans="1:7" x14ac:dyDescent="0.3">
      <c r="A441" s="25" t="s">
        <v>431</v>
      </c>
      <c r="B441" s="13" t="s">
        <v>595</v>
      </c>
      <c r="C441" s="26">
        <v>45893</v>
      </c>
      <c r="D441" s="26">
        <f>WORKDAY(AR_table!$C441,$J$1)</f>
        <v>45933</v>
      </c>
      <c r="E441" s="27">
        <v>6816.1</v>
      </c>
      <c r="F441" s="10">
        <f ca="1">IF(AR_table!$D441&gt;=TODAY(),0,NETWORKDAYS(AR_table!$D441,TODAY()))</f>
        <v>94</v>
      </c>
      <c r="G441" s="13" t="str">
        <f ca="1">VLOOKUP(AR_table!$F441,aging_bucket[#All],2)</f>
        <v>&gt;90</v>
      </c>
    </row>
    <row r="442" spans="1:7" x14ac:dyDescent="0.3">
      <c r="A442" s="12" t="s">
        <v>432</v>
      </c>
      <c r="B442" s="10" t="s">
        <v>591</v>
      </c>
      <c r="C442" s="14">
        <v>45871</v>
      </c>
      <c r="D442" s="14">
        <f>WORKDAY(AR_table!$C442,$J$1)</f>
        <v>45912</v>
      </c>
      <c r="E442" s="15">
        <v>3940.19</v>
      </c>
      <c r="F442" s="10">
        <f ca="1">IF(AR_table!$D442&gt;=TODAY(),0,NETWORKDAYS(AR_table!$D442,TODAY()))</f>
        <v>109</v>
      </c>
      <c r="G442" s="10" t="str">
        <f ca="1">VLOOKUP(AR_table!$F442,aging_bucket[#All],2)</f>
        <v>&gt;90</v>
      </c>
    </row>
    <row r="443" spans="1:7" x14ac:dyDescent="0.3">
      <c r="A443" s="25" t="s">
        <v>433</v>
      </c>
      <c r="B443" s="13" t="s">
        <v>595</v>
      </c>
      <c r="C443" s="26">
        <v>45822</v>
      </c>
      <c r="D443" s="26">
        <f>WORKDAY(AR_table!$C443,$J$1)</f>
        <v>45863</v>
      </c>
      <c r="E443" s="27">
        <v>3595.35</v>
      </c>
      <c r="F443" s="10">
        <f ca="1">IF(AR_table!$D443&gt;=TODAY(),0,NETWORKDAYS(AR_table!$D443,TODAY()))</f>
        <v>144</v>
      </c>
      <c r="G443" s="13" t="str">
        <f ca="1">VLOOKUP(AR_table!$F443,aging_bucket[#All],2)</f>
        <v>&gt;90</v>
      </c>
    </row>
    <row r="444" spans="1:7" x14ac:dyDescent="0.3">
      <c r="A444" s="12" t="s">
        <v>434</v>
      </c>
      <c r="B444" s="10" t="s">
        <v>591</v>
      </c>
      <c r="C444" s="14">
        <v>45792</v>
      </c>
      <c r="D444" s="14">
        <f>WORKDAY(AR_table!$C444,$J$1)</f>
        <v>45834</v>
      </c>
      <c r="E444" s="15">
        <v>3077.11</v>
      </c>
      <c r="F444" s="10">
        <f ca="1">IF(AR_table!$D444&gt;=TODAY(),0,NETWORKDAYS(AR_table!$D444,TODAY()))</f>
        <v>165</v>
      </c>
      <c r="G444" s="10" t="str">
        <f ca="1">VLOOKUP(AR_table!$F444,aging_bucket[#All],2)</f>
        <v>&gt;90</v>
      </c>
    </row>
    <row r="445" spans="1:7" x14ac:dyDescent="0.3">
      <c r="A445" s="25" t="s">
        <v>435</v>
      </c>
      <c r="B445" s="13" t="s">
        <v>591</v>
      </c>
      <c r="C445" s="26">
        <v>46070</v>
      </c>
      <c r="D445" s="26">
        <f>WORKDAY(AR_table!$C445,$J$1)</f>
        <v>46112</v>
      </c>
      <c r="E445" s="27">
        <v>5124.7</v>
      </c>
      <c r="F445" s="10">
        <f ca="1">IF(AR_table!$D445&gt;=TODAY(),0,NETWORKDAYS(AR_table!$D445,TODAY()))</f>
        <v>0</v>
      </c>
      <c r="G445" s="13" t="str">
        <f ca="1">VLOOKUP(AR_table!$F445,aging_bucket[#All],2)</f>
        <v>Not due</v>
      </c>
    </row>
    <row r="446" spans="1:7" x14ac:dyDescent="0.3">
      <c r="A446" s="12" t="s">
        <v>436</v>
      </c>
      <c r="B446" s="10" t="s">
        <v>591</v>
      </c>
      <c r="C446" s="14">
        <v>45823</v>
      </c>
      <c r="D446" s="14">
        <f>WORKDAY(AR_table!$C446,$J$1)</f>
        <v>45863</v>
      </c>
      <c r="E446" s="15">
        <v>7013.17</v>
      </c>
      <c r="F446" s="10">
        <f ca="1">IF(AR_table!$D446&gt;=TODAY(),0,NETWORKDAYS(AR_table!$D446,TODAY()))</f>
        <v>144</v>
      </c>
      <c r="G446" s="10" t="str">
        <f ca="1">VLOOKUP(AR_table!$F446,aging_bucket[#All],2)</f>
        <v>&gt;90</v>
      </c>
    </row>
    <row r="447" spans="1:7" x14ac:dyDescent="0.3">
      <c r="A447" s="25" t="s">
        <v>437</v>
      </c>
      <c r="B447" s="13" t="s">
        <v>594</v>
      </c>
      <c r="C447" s="26">
        <v>45695</v>
      </c>
      <c r="D447" s="26">
        <f>WORKDAY(AR_table!$C447,$J$1)</f>
        <v>45737</v>
      </c>
      <c r="E447" s="27">
        <v>6328.76</v>
      </c>
      <c r="F447" s="10">
        <f ca="1">IF(AR_table!$D447&gt;=TODAY(),0,NETWORKDAYS(AR_table!$D447,TODAY()))</f>
        <v>234</v>
      </c>
      <c r="G447" s="13" t="str">
        <f ca="1">VLOOKUP(AR_table!$F447,aging_bucket[#All],2)</f>
        <v>&gt;90</v>
      </c>
    </row>
    <row r="448" spans="1:7" x14ac:dyDescent="0.3">
      <c r="A448" s="12" t="s">
        <v>438</v>
      </c>
      <c r="B448" s="10" t="s">
        <v>592</v>
      </c>
      <c r="C448" s="14">
        <v>45905</v>
      </c>
      <c r="D448" s="14">
        <f>WORKDAY(AR_table!$C448,$J$1)</f>
        <v>45947</v>
      </c>
      <c r="E448" s="15">
        <v>902.03</v>
      </c>
      <c r="F448" s="10">
        <f ca="1">IF(AR_table!$D448&gt;=TODAY(),0,NETWORKDAYS(AR_table!$D448,TODAY()))</f>
        <v>84</v>
      </c>
      <c r="G448" s="10" t="str">
        <f ca="1">VLOOKUP(AR_table!$F448,aging_bucket[#All],2)</f>
        <v>61-90</v>
      </c>
    </row>
    <row r="449" spans="1:7" x14ac:dyDescent="0.3">
      <c r="A449" s="25" t="s">
        <v>439</v>
      </c>
      <c r="B449" s="13" t="s">
        <v>593</v>
      </c>
      <c r="C449" s="26">
        <v>46092</v>
      </c>
      <c r="D449" s="26">
        <f>WORKDAY(AR_table!$C449,$J$1)</f>
        <v>46134</v>
      </c>
      <c r="E449" s="27">
        <v>5343.75</v>
      </c>
      <c r="F449" s="10">
        <f ca="1">IF(AR_table!$D449&gt;=TODAY(),0,NETWORKDAYS(AR_table!$D449,TODAY()))</f>
        <v>0</v>
      </c>
      <c r="G449" s="13" t="str">
        <f ca="1">VLOOKUP(AR_table!$F449,aging_bucket[#All],2)</f>
        <v>Not due</v>
      </c>
    </row>
    <row r="450" spans="1:7" x14ac:dyDescent="0.3">
      <c r="A450" s="12" t="s">
        <v>440</v>
      </c>
      <c r="B450" s="10" t="s">
        <v>592</v>
      </c>
      <c r="C450" s="14">
        <v>45977</v>
      </c>
      <c r="D450" s="14">
        <f>WORKDAY(AR_table!$C450,$J$1)</f>
        <v>46017</v>
      </c>
      <c r="E450" s="15">
        <v>7948.89</v>
      </c>
      <c r="F450" s="10">
        <f ca="1">IF(AR_table!$D450&gt;=TODAY(),0,NETWORKDAYS(AR_table!$D450,TODAY()))</f>
        <v>34</v>
      </c>
      <c r="G450" s="10" t="str">
        <f ca="1">VLOOKUP(AR_table!$F450,aging_bucket[#All],2)</f>
        <v>31-60</v>
      </c>
    </row>
    <row r="451" spans="1:7" x14ac:dyDescent="0.3">
      <c r="A451" s="12" t="s">
        <v>441</v>
      </c>
      <c r="B451" s="10" t="s">
        <v>592</v>
      </c>
      <c r="C451" s="14">
        <v>45859</v>
      </c>
      <c r="D451" s="14">
        <f>WORKDAY(AR_table!$C451,$J$1)</f>
        <v>45901</v>
      </c>
      <c r="E451" s="15">
        <v>4905.33</v>
      </c>
      <c r="F451" s="10">
        <f ca="1">IF(AR_table!$D451&gt;=TODAY(),0,NETWORKDAYS(AR_table!$D451,TODAY()))</f>
        <v>118</v>
      </c>
      <c r="G451" s="10" t="str">
        <f ca="1">VLOOKUP(AR_table!$F451,aging_bucket[#All],2)</f>
        <v>&gt;90</v>
      </c>
    </row>
    <row r="452" spans="1:7" x14ac:dyDescent="0.3">
      <c r="A452" s="25" t="s">
        <v>442</v>
      </c>
      <c r="B452" s="13" t="s">
        <v>593</v>
      </c>
      <c r="C452" s="26">
        <v>45711</v>
      </c>
      <c r="D452" s="26">
        <f>WORKDAY(AR_table!$C452,$J$1)</f>
        <v>45751</v>
      </c>
      <c r="E452" s="27">
        <v>5531.26</v>
      </c>
      <c r="F452" s="10">
        <f ca="1">IF(AR_table!$D452&gt;=TODAY(),0,NETWORKDAYS(AR_table!$D452,TODAY()))</f>
        <v>224</v>
      </c>
      <c r="G452" s="13" t="str">
        <f ca="1">VLOOKUP(AR_table!$F452,aging_bucket[#All],2)</f>
        <v>&gt;90</v>
      </c>
    </row>
    <row r="453" spans="1:7" x14ac:dyDescent="0.3">
      <c r="A453" s="12" t="s">
        <v>443</v>
      </c>
      <c r="B453" s="10" t="s">
        <v>594</v>
      </c>
      <c r="C453" s="14">
        <v>46112</v>
      </c>
      <c r="D453" s="14">
        <f>WORKDAY(AR_table!$C453,$J$1)</f>
        <v>46154</v>
      </c>
      <c r="E453" s="15">
        <v>696.31</v>
      </c>
      <c r="F453" s="10">
        <f ca="1">IF(AR_table!$D453&gt;=TODAY(),0,NETWORKDAYS(AR_table!$D453,TODAY()))</f>
        <v>0</v>
      </c>
      <c r="G453" s="10" t="str">
        <f ca="1">VLOOKUP(AR_table!$F453,aging_bucket[#All],2)</f>
        <v>Not due</v>
      </c>
    </row>
    <row r="454" spans="1:7" x14ac:dyDescent="0.3">
      <c r="A454" s="25" t="s">
        <v>444</v>
      </c>
      <c r="B454" s="13" t="s">
        <v>594</v>
      </c>
      <c r="C454" s="26">
        <v>46169</v>
      </c>
      <c r="D454" s="26">
        <f>WORKDAY(AR_table!$C454,$J$1)</f>
        <v>46211</v>
      </c>
      <c r="E454" s="27">
        <v>4219.1899999999996</v>
      </c>
      <c r="F454" s="10">
        <f ca="1">IF(AR_table!$D454&gt;=TODAY(),0,NETWORKDAYS(AR_table!$D454,TODAY()))</f>
        <v>0</v>
      </c>
      <c r="G454" s="13" t="str">
        <f ca="1">VLOOKUP(AR_table!$F454,aging_bucket[#All],2)</f>
        <v>Not due</v>
      </c>
    </row>
    <row r="455" spans="1:7" x14ac:dyDescent="0.3">
      <c r="A455" s="12" t="s">
        <v>445</v>
      </c>
      <c r="B455" s="10" t="s">
        <v>591</v>
      </c>
      <c r="C455" s="14">
        <v>45689</v>
      </c>
      <c r="D455" s="14">
        <f>WORKDAY(AR_table!$C455,$J$1)</f>
        <v>45730</v>
      </c>
      <c r="E455" s="15">
        <v>6754.63</v>
      </c>
      <c r="F455" s="10">
        <f ca="1">IF(AR_table!$D455&gt;=TODAY(),0,NETWORKDAYS(AR_table!$D455,TODAY()))</f>
        <v>239</v>
      </c>
      <c r="G455" s="10" t="str">
        <f ca="1">VLOOKUP(AR_table!$F455,aging_bucket[#All],2)</f>
        <v>&gt;90</v>
      </c>
    </row>
    <row r="456" spans="1:7" x14ac:dyDescent="0.3">
      <c r="A456" s="12" t="s">
        <v>446</v>
      </c>
      <c r="B456" s="10" t="s">
        <v>595</v>
      </c>
      <c r="C456" s="14">
        <v>45812</v>
      </c>
      <c r="D456" s="14">
        <f>WORKDAY(AR_table!$C456,$J$1)</f>
        <v>45854</v>
      </c>
      <c r="E456" s="15">
        <v>5986.21</v>
      </c>
      <c r="F456" s="10">
        <f ca="1">IF(AR_table!$D456&gt;=TODAY(),0,NETWORKDAYS(AR_table!$D456,TODAY()))</f>
        <v>151</v>
      </c>
      <c r="G456" s="10" t="str">
        <f ca="1">VLOOKUP(AR_table!$F456,aging_bucket[#All],2)</f>
        <v>&gt;90</v>
      </c>
    </row>
    <row r="457" spans="1:7" x14ac:dyDescent="0.3">
      <c r="A457" s="25" t="s">
        <v>447</v>
      </c>
      <c r="B457" s="13" t="s">
        <v>592</v>
      </c>
      <c r="C457" s="26">
        <v>45988</v>
      </c>
      <c r="D457" s="26">
        <f>WORKDAY(AR_table!$C457,$J$1)</f>
        <v>46030</v>
      </c>
      <c r="E457" s="27">
        <v>4948.45</v>
      </c>
      <c r="F457" s="10">
        <f ca="1">IF(AR_table!$D457&gt;=TODAY(),0,NETWORKDAYS(AR_table!$D457,TODAY()))</f>
        <v>25</v>
      </c>
      <c r="G457" s="13" t="str">
        <f ca="1">VLOOKUP(AR_table!$F457,aging_bucket[#All],2)</f>
        <v>1-30</v>
      </c>
    </row>
    <row r="458" spans="1:7" x14ac:dyDescent="0.3">
      <c r="A458" s="12" t="s">
        <v>448</v>
      </c>
      <c r="B458" s="10" t="s">
        <v>595</v>
      </c>
      <c r="C458" s="14">
        <v>45737</v>
      </c>
      <c r="D458" s="14">
        <f>WORKDAY(AR_table!$C458,$J$1)</f>
        <v>45779</v>
      </c>
      <c r="E458" s="15">
        <v>3111.12</v>
      </c>
      <c r="F458" s="10">
        <f ca="1">IF(AR_table!$D458&gt;=TODAY(),0,NETWORKDAYS(AR_table!$D458,TODAY()))</f>
        <v>204</v>
      </c>
      <c r="G458" s="10" t="str">
        <f ca="1">VLOOKUP(AR_table!$F458,aging_bucket[#All],2)</f>
        <v>&gt;90</v>
      </c>
    </row>
    <row r="459" spans="1:7" x14ac:dyDescent="0.3">
      <c r="A459" s="25" t="s">
        <v>449</v>
      </c>
      <c r="B459" s="13" t="s">
        <v>592</v>
      </c>
      <c r="C459" s="26">
        <v>46189</v>
      </c>
      <c r="D459" s="26">
        <f>WORKDAY(AR_table!$C459,$J$1)</f>
        <v>46231</v>
      </c>
      <c r="E459" s="27">
        <v>4171.1000000000004</v>
      </c>
      <c r="F459" s="10">
        <f ca="1">IF(AR_table!$D459&gt;=TODAY(),0,NETWORKDAYS(AR_table!$D459,TODAY()))</f>
        <v>0</v>
      </c>
      <c r="G459" s="13" t="str">
        <f ca="1">VLOOKUP(AR_table!$F459,aging_bucket[#All],2)</f>
        <v>Not due</v>
      </c>
    </row>
    <row r="460" spans="1:7" x14ac:dyDescent="0.3">
      <c r="A460" s="12" t="s">
        <v>450</v>
      </c>
      <c r="B460" s="10" t="s">
        <v>591</v>
      </c>
      <c r="C460" s="14">
        <v>45934</v>
      </c>
      <c r="D460" s="14">
        <f>WORKDAY(AR_table!$C460,$J$1)</f>
        <v>45975</v>
      </c>
      <c r="E460" s="15">
        <v>6025.55</v>
      </c>
      <c r="F460" s="10">
        <f ca="1">IF(AR_table!$D460&gt;=TODAY(),0,NETWORKDAYS(AR_table!$D460,TODAY()))</f>
        <v>64</v>
      </c>
      <c r="G460" s="10" t="str">
        <f ca="1">VLOOKUP(AR_table!$F460,aging_bucket[#All],2)</f>
        <v>61-90</v>
      </c>
    </row>
    <row r="461" spans="1:7" x14ac:dyDescent="0.3">
      <c r="A461" s="25" t="s">
        <v>451</v>
      </c>
      <c r="B461" s="13" t="s">
        <v>593</v>
      </c>
      <c r="C461" s="26">
        <v>45712</v>
      </c>
      <c r="D461" s="26">
        <f>WORKDAY(AR_table!$C461,$J$1)</f>
        <v>45754</v>
      </c>
      <c r="E461" s="27">
        <v>4483.34</v>
      </c>
      <c r="F461" s="10">
        <f ca="1">IF(AR_table!$D461&gt;=TODAY(),0,NETWORKDAYS(AR_table!$D461,TODAY()))</f>
        <v>223</v>
      </c>
      <c r="G461" s="13" t="str">
        <f ca="1">VLOOKUP(AR_table!$F461,aging_bucket[#All],2)</f>
        <v>&gt;90</v>
      </c>
    </row>
    <row r="462" spans="1:7" x14ac:dyDescent="0.3">
      <c r="A462" s="12" t="s">
        <v>452</v>
      </c>
      <c r="B462" s="10" t="s">
        <v>594</v>
      </c>
      <c r="C462" s="14">
        <v>46161</v>
      </c>
      <c r="D462" s="14">
        <f>WORKDAY(AR_table!$C462,$J$1)</f>
        <v>46203</v>
      </c>
      <c r="E462" s="15">
        <v>1864.5</v>
      </c>
      <c r="F462" s="10">
        <f ca="1">IF(AR_table!$D462&gt;=TODAY(),0,NETWORKDAYS(AR_table!$D462,TODAY()))</f>
        <v>0</v>
      </c>
      <c r="G462" s="10" t="str">
        <f ca="1">VLOOKUP(AR_table!$F462,aging_bucket[#All],2)</f>
        <v>Not due</v>
      </c>
    </row>
    <row r="463" spans="1:7" x14ac:dyDescent="0.3">
      <c r="A463" s="25" t="s">
        <v>453</v>
      </c>
      <c r="B463" s="13" t="s">
        <v>594</v>
      </c>
      <c r="C463" s="26">
        <v>45966</v>
      </c>
      <c r="D463" s="26">
        <f>WORKDAY(AR_table!$C463,$J$1)</f>
        <v>46008</v>
      </c>
      <c r="E463" s="27">
        <v>3805.4</v>
      </c>
      <c r="F463" s="10">
        <f ca="1">IF(AR_table!$D463&gt;=TODAY(),0,NETWORKDAYS(AR_table!$D463,TODAY()))</f>
        <v>41</v>
      </c>
      <c r="G463" s="13" t="str">
        <f ca="1">VLOOKUP(AR_table!$F463,aging_bucket[#All],2)</f>
        <v>31-60</v>
      </c>
    </row>
    <row r="464" spans="1:7" x14ac:dyDescent="0.3">
      <c r="A464" s="12" t="s">
        <v>454</v>
      </c>
      <c r="B464" s="10" t="s">
        <v>594</v>
      </c>
      <c r="C464" s="14">
        <v>45822</v>
      </c>
      <c r="D464" s="14">
        <f>WORKDAY(AR_table!$C464,$J$1)</f>
        <v>45863</v>
      </c>
      <c r="E464" s="15">
        <v>3548.95</v>
      </c>
      <c r="F464" s="10">
        <f ca="1">IF(AR_table!$D464&gt;=TODAY(),0,NETWORKDAYS(AR_table!$D464,TODAY()))</f>
        <v>144</v>
      </c>
      <c r="G464" s="10" t="str">
        <f ca="1">VLOOKUP(AR_table!$F464,aging_bucket[#All],2)</f>
        <v>&gt;90</v>
      </c>
    </row>
    <row r="465" spans="1:7" x14ac:dyDescent="0.3">
      <c r="A465" s="25" t="s">
        <v>455</v>
      </c>
      <c r="B465" s="13" t="s">
        <v>591</v>
      </c>
      <c r="C465" s="26">
        <v>45986</v>
      </c>
      <c r="D465" s="26">
        <f>WORKDAY(AR_table!$C465,$J$1)</f>
        <v>46028</v>
      </c>
      <c r="E465" s="27">
        <v>283.44</v>
      </c>
      <c r="F465" s="10">
        <f ca="1">IF(AR_table!$D465&gt;=TODAY(),0,NETWORKDAYS(AR_table!$D465,TODAY()))</f>
        <v>27</v>
      </c>
      <c r="G465" s="13" t="str">
        <f ca="1">VLOOKUP(AR_table!$F465,aging_bucket[#All],2)</f>
        <v>1-30</v>
      </c>
    </row>
    <row r="466" spans="1:7" x14ac:dyDescent="0.3">
      <c r="A466" s="12" t="s">
        <v>456</v>
      </c>
      <c r="B466" s="10" t="s">
        <v>595</v>
      </c>
      <c r="C466" s="14">
        <v>45806</v>
      </c>
      <c r="D466" s="14">
        <f>WORKDAY(AR_table!$C466,$J$1)</f>
        <v>45848</v>
      </c>
      <c r="E466" s="15">
        <v>3193.11</v>
      </c>
      <c r="F466" s="10">
        <f ca="1">IF(AR_table!$D466&gt;=TODAY(),0,NETWORKDAYS(AR_table!$D466,TODAY()))</f>
        <v>155</v>
      </c>
      <c r="G466" s="10" t="str">
        <f ca="1">VLOOKUP(AR_table!$F466,aging_bucket[#All],2)</f>
        <v>&gt;90</v>
      </c>
    </row>
    <row r="467" spans="1:7" x14ac:dyDescent="0.3">
      <c r="A467" s="25" t="s">
        <v>457</v>
      </c>
      <c r="B467" s="13" t="s">
        <v>592</v>
      </c>
      <c r="C467" s="26">
        <v>45677</v>
      </c>
      <c r="D467" s="26">
        <f>WORKDAY(AR_table!$C467,$J$1)</f>
        <v>45719</v>
      </c>
      <c r="E467" s="27">
        <v>2760.66</v>
      </c>
      <c r="F467" s="10">
        <f ca="1">IF(AR_table!$D467&gt;=TODAY(),0,NETWORKDAYS(AR_table!$D467,TODAY()))</f>
        <v>248</v>
      </c>
      <c r="G467" s="13" t="str">
        <f ca="1">VLOOKUP(AR_table!$F467,aging_bucket[#All],2)</f>
        <v>&gt;90</v>
      </c>
    </row>
    <row r="468" spans="1:7" x14ac:dyDescent="0.3">
      <c r="A468" s="25" t="s">
        <v>458</v>
      </c>
      <c r="B468" s="13" t="s">
        <v>593</v>
      </c>
      <c r="C468" s="26">
        <v>45678</v>
      </c>
      <c r="D468" s="26">
        <f>WORKDAY(AR_table!$C468,$J$1)</f>
        <v>45720</v>
      </c>
      <c r="E468" s="27">
        <v>4442.5200000000004</v>
      </c>
      <c r="F468" s="10">
        <f ca="1">IF(AR_table!$D468&gt;=TODAY(),0,NETWORKDAYS(AR_table!$D468,TODAY()))</f>
        <v>247</v>
      </c>
      <c r="G468" s="13" t="str">
        <f ca="1">VLOOKUP(AR_table!$F468,aging_bucket[#All],2)</f>
        <v>&gt;90</v>
      </c>
    </row>
    <row r="469" spans="1:7" x14ac:dyDescent="0.3">
      <c r="A469" s="12" t="s">
        <v>459</v>
      </c>
      <c r="B469" s="10" t="s">
        <v>594</v>
      </c>
      <c r="C469" s="14">
        <v>45931</v>
      </c>
      <c r="D469" s="14">
        <f>WORKDAY(AR_table!$C469,$J$1)</f>
        <v>45973</v>
      </c>
      <c r="E469" s="15">
        <v>6614.86</v>
      </c>
      <c r="F469" s="10">
        <f ca="1">IF(AR_table!$D469&gt;=TODAY(),0,NETWORKDAYS(AR_table!$D469,TODAY()))</f>
        <v>66</v>
      </c>
      <c r="G469" s="10" t="str">
        <f ca="1">VLOOKUP(AR_table!$F469,aging_bucket[#All],2)</f>
        <v>61-90</v>
      </c>
    </row>
    <row r="470" spans="1:7" x14ac:dyDescent="0.3">
      <c r="A470" s="25" t="s">
        <v>460</v>
      </c>
      <c r="B470" s="13" t="s">
        <v>594</v>
      </c>
      <c r="C470" s="26">
        <v>45972</v>
      </c>
      <c r="D470" s="26">
        <f>WORKDAY(AR_table!$C470,$J$1)</f>
        <v>46014</v>
      </c>
      <c r="E470" s="27">
        <v>2556.04</v>
      </c>
      <c r="F470" s="10">
        <f ca="1">IF(AR_table!$D470&gt;=TODAY(),0,NETWORKDAYS(AR_table!$D470,TODAY()))</f>
        <v>37</v>
      </c>
      <c r="G470" s="13" t="str">
        <f ca="1">VLOOKUP(AR_table!$F470,aging_bucket[#All],2)</f>
        <v>31-60</v>
      </c>
    </row>
    <row r="471" spans="1:7" x14ac:dyDescent="0.3">
      <c r="A471" s="12" t="s">
        <v>461</v>
      </c>
      <c r="B471" s="10" t="s">
        <v>591</v>
      </c>
      <c r="C471" s="14">
        <v>45888</v>
      </c>
      <c r="D471" s="14">
        <f>WORKDAY(AR_table!$C471,$J$1)</f>
        <v>45930</v>
      </c>
      <c r="E471" s="15">
        <v>2111.52</v>
      </c>
      <c r="F471" s="10">
        <f ca="1">IF(AR_table!$D471&gt;=TODAY(),0,NETWORKDAYS(AR_table!$D471,TODAY()))</f>
        <v>97</v>
      </c>
      <c r="G471" s="10" t="str">
        <f ca="1">VLOOKUP(AR_table!$F471,aging_bucket[#All],2)</f>
        <v>&gt;90</v>
      </c>
    </row>
    <row r="472" spans="1:7" x14ac:dyDescent="0.3">
      <c r="A472" s="25" t="s">
        <v>462</v>
      </c>
      <c r="B472" s="13" t="s">
        <v>593</v>
      </c>
      <c r="C472" s="26">
        <v>45737</v>
      </c>
      <c r="D472" s="26">
        <f>WORKDAY(AR_table!$C472,$J$1)</f>
        <v>45779</v>
      </c>
      <c r="E472" s="27">
        <v>982.36</v>
      </c>
      <c r="F472" s="10">
        <f ca="1">IF(AR_table!$D472&gt;=TODAY(),0,NETWORKDAYS(AR_table!$D472,TODAY()))</f>
        <v>204</v>
      </c>
      <c r="G472" s="13" t="str">
        <f ca="1">VLOOKUP(AR_table!$F472,aging_bucket[#All],2)</f>
        <v>&gt;90</v>
      </c>
    </row>
    <row r="473" spans="1:7" x14ac:dyDescent="0.3">
      <c r="A473" s="12" t="s">
        <v>463</v>
      </c>
      <c r="B473" s="10" t="s">
        <v>594</v>
      </c>
      <c r="C473" s="14">
        <v>45727</v>
      </c>
      <c r="D473" s="14">
        <f>WORKDAY(AR_table!$C473,$J$1)</f>
        <v>45769</v>
      </c>
      <c r="E473" s="15">
        <v>5662.81</v>
      </c>
      <c r="F473" s="10">
        <f ca="1">IF(AR_table!$D473&gt;=TODAY(),0,NETWORKDAYS(AR_table!$D473,TODAY()))</f>
        <v>212</v>
      </c>
      <c r="G473" s="10" t="str">
        <f ca="1">VLOOKUP(AR_table!$F473,aging_bucket[#All],2)</f>
        <v>&gt;90</v>
      </c>
    </row>
    <row r="474" spans="1:7" x14ac:dyDescent="0.3">
      <c r="A474" s="25" t="s">
        <v>464</v>
      </c>
      <c r="B474" s="13" t="s">
        <v>591</v>
      </c>
      <c r="C474" s="26">
        <v>45806</v>
      </c>
      <c r="D474" s="26">
        <f>WORKDAY(AR_table!$C474,$J$1)</f>
        <v>45848</v>
      </c>
      <c r="E474" s="27">
        <v>5466.25</v>
      </c>
      <c r="F474" s="10">
        <f ca="1">IF(AR_table!$D474&gt;=TODAY(),0,NETWORKDAYS(AR_table!$D474,TODAY()))</f>
        <v>155</v>
      </c>
      <c r="G474" s="13" t="str">
        <f ca="1">VLOOKUP(AR_table!$F474,aging_bucket[#All],2)</f>
        <v>&gt;90</v>
      </c>
    </row>
    <row r="475" spans="1:7" x14ac:dyDescent="0.3">
      <c r="A475" s="12" t="s">
        <v>465</v>
      </c>
      <c r="B475" s="10" t="s">
        <v>591</v>
      </c>
      <c r="C475" s="14">
        <v>45719</v>
      </c>
      <c r="D475" s="14">
        <f>WORKDAY(AR_table!$C475,$J$1)</f>
        <v>45761</v>
      </c>
      <c r="E475" s="15">
        <v>5790.42</v>
      </c>
      <c r="F475" s="10">
        <f ca="1">IF(AR_table!$D475&gt;=TODAY(),0,NETWORKDAYS(AR_table!$D475,TODAY()))</f>
        <v>218</v>
      </c>
      <c r="G475" s="10" t="str">
        <f ca="1">VLOOKUP(AR_table!$F475,aging_bucket[#All],2)</f>
        <v>&gt;90</v>
      </c>
    </row>
    <row r="476" spans="1:7" x14ac:dyDescent="0.3">
      <c r="A476" s="12" t="s">
        <v>466</v>
      </c>
      <c r="B476" s="10" t="s">
        <v>595</v>
      </c>
      <c r="C476" s="14">
        <v>45910</v>
      </c>
      <c r="D476" s="14">
        <f>WORKDAY(AR_table!$C476,$J$1)</f>
        <v>45952</v>
      </c>
      <c r="E476" s="15">
        <v>3252.33</v>
      </c>
      <c r="F476" s="10">
        <f ca="1">IF(AR_table!$D476&gt;=TODAY(),0,NETWORKDAYS(AR_table!$D476,TODAY()))</f>
        <v>81</v>
      </c>
      <c r="G476" s="10" t="str">
        <f ca="1">VLOOKUP(AR_table!$F476,aging_bucket[#All],2)</f>
        <v>61-90</v>
      </c>
    </row>
    <row r="477" spans="1:7" x14ac:dyDescent="0.3">
      <c r="A477" s="12" t="s">
        <v>467</v>
      </c>
      <c r="B477" s="10" t="s">
        <v>594</v>
      </c>
      <c r="C477" s="14">
        <v>46182</v>
      </c>
      <c r="D477" s="14">
        <f>WORKDAY(AR_table!$C477,$J$1)</f>
        <v>46224</v>
      </c>
      <c r="E477" s="15">
        <v>1447.17</v>
      </c>
      <c r="F477" s="10">
        <f ca="1">IF(AR_table!$D477&gt;=TODAY(),0,NETWORKDAYS(AR_table!$D477,TODAY()))</f>
        <v>0</v>
      </c>
      <c r="G477" s="10" t="str">
        <f ca="1">VLOOKUP(AR_table!$F477,aging_bucket[#All],2)</f>
        <v>Not due</v>
      </c>
    </row>
    <row r="478" spans="1:7" x14ac:dyDescent="0.3">
      <c r="A478" s="25" t="s">
        <v>468</v>
      </c>
      <c r="B478" s="13" t="s">
        <v>591</v>
      </c>
      <c r="C478" s="26">
        <v>45874</v>
      </c>
      <c r="D478" s="26">
        <f>WORKDAY(AR_table!$C478,$J$1)</f>
        <v>45916</v>
      </c>
      <c r="E478" s="27">
        <v>7506.22</v>
      </c>
      <c r="F478" s="10">
        <f ca="1">IF(AR_table!$D478&gt;=TODAY(),0,NETWORKDAYS(AR_table!$D478,TODAY()))</f>
        <v>107</v>
      </c>
      <c r="G478" s="13" t="str">
        <f ca="1">VLOOKUP(AR_table!$F478,aging_bucket[#All],2)</f>
        <v>&gt;90</v>
      </c>
    </row>
    <row r="479" spans="1:7" x14ac:dyDescent="0.3">
      <c r="A479" s="12" t="s">
        <v>469</v>
      </c>
      <c r="B479" s="10" t="s">
        <v>594</v>
      </c>
      <c r="C479" s="14">
        <v>46126</v>
      </c>
      <c r="D479" s="14">
        <f>WORKDAY(AR_table!$C479,$J$1)</f>
        <v>46168</v>
      </c>
      <c r="E479" s="15">
        <v>7912.6</v>
      </c>
      <c r="F479" s="10">
        <f ca="1">IF(AR_table!$D479&gt;=TODAY(),0,NETWORKDAYS(AR_table!$D479,TODAY()))</f>
        <v>0</v>
      </c>
      <c r="G479" s="10" t="str">
        <f ca="1">VLOOKUP(AR_table!$F479,aging_bucket[#All],2)</f>
        <v>Not due</v>
      </c>
    </row>
    <row r="480" spans="1:7" x14ac:dyDescent="0.3">
      <c r="A480" s="12" t="s">
        <v>470</v>
      </c>
      <c r="B480" s="10" t="s">
        <v>595</v>
      </c>
      <c r="C480" s="14">
        <v>45713</v>
      </c>
      <c r="D480" s="14">
        <f>WORKDAY(AR_table!$C480,$J$1)</f>
        <v>45755</v>
      </c>
      <c r="E480" s="15">
        <v>6682.82</v>
      </c>
      <c r="F480" s="10">
        <f ca="1">IF(AR_table!$D480&gt;=TODAY(),0,NETWORKDAYS(AR_table!$D480,TODAY()))</f>
        <v>222</v>
      </c>
      <c r="G480" s="10" t="str">
        <f ca="1">VLOOKUP(AR_table!$F480,aging_bucket[#All],2)</f>
        <v>&gt;90</v>
      </c>
    </row>
    <row r="481" spans="1:7" x14ac:dyDescent="0.3">
      <c r="A481" s="25" t="s">
        <v>471</v>
      </c>
      <c r="B481" s="13" t="s">
        <v>595</v>
      </c>
      <c r="C481" s="26">
        <v>45959</v>
      </c>
      <c r="D481" s="26">
        <f>WORKDAY(AR_table!$C481,$J$1)</f>
        <v>46001</v>
      </c>
      <c r="E481" s="27">
        <v>4718.18</v>
      </c>
      <c r="F481" s="10">
        <f ca="1">IF(AR_table!$D481&gt;=TODAY(),0,NETWORKDAYS(AR_table!$D481,TODAY()))</f>
        <v>46</v>
      </c>
      <c r="G481" s="13" t="str">
        <f ca="1">VLOOKUP(AR_table!$F481,aging_bucket[#All],2)</f>
        <v>31-60</v>
      </c>
    </row>
    <row r="482" spans="1:7" x14ac:dyDescent="0.3">
      <c r="A482" s="12" t="s">
        <v>472</v>
      </c>
      <c r="B482" s="10" t="s">
        <v>591</v>
      </c>
      <c r="C482" s="14">
        <v>46118</v>
      </c>
      <c r="D482" s="14">
        <f>WORKDAY(AR_table!$C482,$J$1)</f>
        <v>46160</v>
      </c>
      <c r="E482" s="15">
        <v>5413.68</v>
      </c>
      <c r="F482" s="10">
        <f ca="1">IF(AR_table!$D482&gt;=TODAY(),0,NETWORKDAYS(AR_table!$D482,TODAY()))</f>
        <v>0</v>
      </c>
      <c r="G482" s="10" t="str">
        <f ca="1">VLOOKUP(AR_table!$F482,aging_bucket[#All],2)</f>
        <v>Not due</v>
      </c>
    </row>
    <row r="483" spans="1:7" x14ac:dyDescent="0.3">
      <c r="A483" s="12" t="s">
        <v>473</v>
      </c>
      <c r="B483" s="10" t="s">
        <v>592</v>
      </c>
      <c r="C483" s="14">
        <v>46132</v>
      </c>
      <c r="D483" s="14">
        <f>WORKDAY(AR_table!$C483,$J$1)</f>
        <v>46174</v>
      </c>
      <c r="E483" s="15">
        <v>1016.83</v>
      </c>
      <c r="F483" s="10">
        <f ca="1">IF(AR_table!$D483&gt;=TODAY(),0,NETWORKDAYS(AR_table!$D483,TODAY()))</f>
        <v>0</v>
      </c>
      <c r="G483" s="10" t="str">
        <f ca="1">VLOOKUP(AR_table!$F483,aging_bucket[#All],2)</f>
        <v>Not due</v>
      </c>
    </row>
    <row r="484" spans="1:7" x14ac:dyDescent="0.3">
      <c r="A484" s="25" t="s">
        <v>474</v>
      </c>
      <c r="B484" s="13" t="s">
        <v>594</v>
      </c>
      <c r="C484" s="26">
        <v>45798</v>
      </c>
      <c r="D484" s="26">
        <f>WORKDAY(AR_table!$C484,$J$1)</f>
        <v>45840</v>
      </c>
      <c r="E484" s="27">
        <v>4967.9399999999996</v>
      </c>
      <c r="F484" s="10">
        <f ca="1">IF(AR_table!$D484&gt;=TODAY(),0,NETWORKDAYS(AR_table!$D484,TODAY()))</f>
        <v>161</v>
      </c>
      <c r="G484" s="13" t="str">
        <f ca="1">VLOOKUP(AR_table!$F484,aging_bucket[#All],2)</f>
        <v>&gt;90</v>
      </c>
    </row>
    <row r="485" spans="1:7" x14ac:dyDescent="0.3">
      <c r="A485" s="25" t="s">
        <v>475</v>
      </c>
      <c r="B485" s="13" t="s">
        <v>591</v>
      </c>
      <c r="C485" s="26">
        <v>46114</v>
      </c>
      <c r="D485" s="26">
        <f>WORKDAY(AR_table!$C485,$J$1)</f>
        <v>46156</v>
      </c>
      <c r="E485" s="27">
        <v>2725.11</v>
      </c>
      <c r="F485" s="10">
        <f ca="1">IF(AR_table!$D485&gt;=TODAY(),0,NETWORKDAYS(AR_table!$D485,TODAY()))</f>
        <v>0</v>
      </c>
      <c r="G485" s="13" t="str">
        <f ca="1">VLOOKUP(AR_table!$F485,aging_bucket[#All],2)</f>
        <v>Not due</v>
      </c>
    </row>
    <row r="486" spans="1:7" x14ac:dyDescent="0.3">
      <c r="A486" s="25" t="s">
        <v>476</v>
      </c>
      <c r="B486" s="13" t="s">
        <v>595</v>
      </c>
      <c r="C486" s="26">
        <v>45906</v>
      </c>
      <c r="D486" s="26">
        <f>WORKDAY(AR_table!$C486,$J$1)</f>
        <v>45947</v>
      </c>
      <c r="E486" s="27">
        <v>379.48</v>
      </c>
      <c r="F486" s="10">
        <f ca="1">IF(AR_table!$D486&gt;=TODAY(),0,NETWORKDAYS(AR_table!$D486,TODAY()))</f>
        <v>84</v>
      </c>
      <c r="G486" s="13" t="str">
        <f ca="1">VLOOKUP(AR_table!$F486,aging_bucket[#All],2)</f>
        <v>61-90</v>
      </c>
    </row>
    <row r="487" spans="1:7" x14ac:dyDescent="0.3">
      <c r="A487" s="12" t="s">
        <v>477</v>
      </c>
      <c r="B487" s="10" t="s">
        <v>595</v>
      </c>
      <c r="C487" s="14">
        <v>45758</v>
      </c>
      <c r="D487" s="14">
        <f>WORKDAY(AR_table!$C487,$J$1)</f>
        <v>45800</v>
      </c>
      <c r="E487" s="15">
        <v>7372.24</v>
      </c>
      <c r="F487" s="10">
        <f ca="1">IF(AR_table!$D487&gt;=TODAY(),0,NETWORKDAYS(AR_table!$D487,TODAY()))</f>
        <v>189</v>
      </c>
      <c r="G487" s="10" t="str">
        <f ca="1">VLOOKUP(AR_table!$F487,aging_bucket[#All],2)</f>
        <v>&gt;90</v>
      </c>
    </row>
    <row r="488" spans="1:7" x14ac:dyDescent="0.3">
      <c r="A488" s="12" t="s">
        <v>478</v>
      </c>
      <c r="B488" s="10" t="s">
        <v>594</v>
      </c>
      <c r="C488" s="14">
        <v>45793</v>
      </c>
      <c r="D488" s="14">
        <f>WORKDAY(AR_table!$C488,$J$1)</f>
        <v>45835</v>
      </c>
      <c r="E488" s="15">
        <v>528.38</v>
      </c>
      <c r="F488" s="10">
        <f ca="1">IF(AR_table!$D488&gt;=TODAY(),0,NETWORKDAYS(AR_table!$D488,TODAY()))</f>
        <v>164</v>
      </c>
      <c r="G488" s="10" t="str">
        <f ca="1">VLOOKUP(AR_table!$F488,aging_bucket[#All],2)</f>
        <v>&gt;90</v>
      </c>
    </row>
    <row r="489" spans="1:7" x14ac:dyDescent="0.3">
      <c r="A489" s="25" t="s">
        <v>479</v>
      </c>
      <c r="B489" s="13" t="s">
        <v>593</v>
      </c>
      <c r="C489" s="26">
        <v>45880</v>
      </c>
      <c r="D489" s="26">
        <f>WORKDAY(AR_table!$C489,$J$1)</f>
        <v>45922</v>
      </c>
      <c r="E489" s="27">
        <v>6586.87</v>
      </c>
      <c r="F489" s="10">
        <f ca="1">IF(AR_table!$D489&gt;=TODAY(),0,NETWORKDAYS(AR_table!$D489,TODAY()))</f>
        <v>103</v>
      </c>
      <c r="G489" s="13" t="str">
        <f ca="1">VLOOKUP(AR_table!$F489,aging_bucket[#All],2)</f>
        <v>&gt;90</v>
      </c>
    </row>
    <row r="490" spans="1:7" x14ac:dyDescent="0.3">
      <c r="A490" s="12" t="s">
        <v>480</v>
      </c>
      <c r="B490" s="10" t="s">
        <v>592</v>
      </c>
      <c r="C490" s="14">
        <v>46114</v>
      </c>
      <c r="D490" s="14">
        <f>WORKDAY(AR_table!$C490,$J$1)</f>
        <v>46156</v>
      </c>
      <c r="E490" s="15">
        <v>1050.93</v>
      </c>
      <c r="F490" s="10">
        <f ca="1">IF(AR_table!$D490&gt;=TODAY(),0,NETWORKDAYS(AR_table!$D490,TODAY()))</f>
        <v>0</v>
      </c>
      <c r="G490" s="10" t="str">
        <f ca="1">VLOOKUP(AR_table!$F490,aging_bucket[#All],2)</f>
        <v>Not due</v>
      </c>
    </row>
    <row r="491" spans="1:7" x14ac:dyDescent="0.3">
      <c r="A491" s="25" t="s">
        <v>481</v>
      </c>
      <c r="B491" s="13" t="s">
        <v>591</v>
      </c>
      <c r="C491" s="26">
        <v>45702</v>
      </c>
      <c r="D491" s="26">
        <f>WORKDAY(AR_table!$C491,$J$1)</f>
        <v>45744</v>
      </c>
      <c r="E491" s="27">
        <v>2238.7600000000002</v>
      </c>
      <c r="F491" s="10">
        <f ca="1">IF(AR_table!$D491&gt;=TODAY(),0,NETWORKDAYS(AR_table!$D491,TODAY()))</f>
        <v>229</v>
      </c>
      <c r="G491" s="13" t="str">
        <f ca="1">VLOOKUP(AR_table!$F491,aging_bucket[#All],2)</f>
        <v>&gt;90</v>
      </c>
    </row>
    <row r="492" spans="1:7" x14ac:dyDescent="0.3">
      <c r="A492" s="12" t="s">
        <v>482</v>
      </c>
      <c r="B492" s="10" t="s">
        <v>592</v>
      </c>
      <c r="C492" s="14">
        <v>45736</v>
      </c>
      <c r="D492" s="14">
        <f>WORKDAY(AR_table!$C492,$J$1)</f>
        <v>45778</v>
      </c>
      <c r="E492" s="15">
        <v>6394.62</v>
      </c>
      <c r="F492" s="10">
        <f ca="1">IF(AR_table!$D492&gt;=TODAY(),0,NETWORKDAYS(AR_table!$D492,TODAY()))</f>
        <v>205</v>
      </c>
      <c r="G492" s="10" t="str">
        <f ca="1">VLOOKUP(AR_table!$F492,aging_bucket[#All],2)</f>
        <v>&gt;90</v>
      </c>
    </row>
    <row r="493" spans="1:7" x14ac:dyDescent="0.3">
      <c r="A493" s="25" t="s">
        <v>483</v>
      </c>
      <c r="B493" s="13" t="s">
        <v>594</v>
      </c>
      <c r="C493" s="26">
        <v>45811</v>
      </c>
      <c r="D493" s="26">
        <f>WORKDAY(AR_table!$C493,$J$1)</f>
        <v>45853</v>
      </c>
      <c r="E493" s="27">
        <v>7492.09</v>
      </c>
      <c r="F493" s="10">
        <f ca="1">IF(AR_table!$D493&gt;=TODAY(),0,NETWORKDAYS(AR_table!$D493,TODAY()))</f>
        <v>152</v>
      </c>
      <c r="G493" s="13" t="str">
        <f ca="1">VLOOKUP(AR_table!$F493,aging_bucket[#All],2)</f>
        <v>&gt;90</v>
      </c>
    </row>
    <row r="494" spans="1:7" x14ac:dyDescent="0.3">
      <c r="A494" s="12" t="s">
        <v>484</v>
      </c>
      <c r="B494" s="10" t="s">
        <v>591</v>
      </c>
      <c r="C494" s="14">
        <v>46098</v>
      </c>
      <c r="D494" s="14">
        <f>WORKDAY(AR_table!$C494,$J$1)</f>
        <v>46140</v>
      </c>
      <c r="E494" s="15">
        <v>4830.54</v>
      </c>
      <c r="F494" s="10">
        <f ca="1">IF(AR_table!$D494&gt;=TODAY(),0,NETWORKDAYS(AR_table!$D494,TODAY()))</f>
        <v>0</v>
      </c>
      <c r="G494" s="10" t="str">
        <f ca="1">VLOOKUP(AR_table!$F494,aging_bucket[#All],2)</f>
        <v>Not due</v>
      </c>
    </row>
    <row r="495" spans="1:7" x14ac:dyDescent="0.3">
      <c r="A495" s="25" t="s">
        <v>485</v>
      </c>
      <c r="B495" s="13" t="s">
        <v>592</v>
      </c>
      <c r="C495" s="26">
        <v>46184</v>
      </c>
      <c r="D495" s="26">
        <f>WORKDAY(AR_table!$C495,$J$1)</f>
        <v>46226</v>
      </c>
      <c r="E495" s="27">
        <v>4670.08</v>
      </c>
      <c r="F495" s="10">
        <f ca="1">IF(AR_table!$D495&gt;=TODAY(),0,NETWORKDAYS(AR_table!$D495,TODAY()))</f>
        <v>0</v>
      </c>
      <c r="G495" s="13" t="str">
        <f ca="1">VLOOKUP(AR_table!$F495,aging_bucket[#All],2)</f>
        <v>Not due</v>
      </c>
    </row>
    <row r="496" spans="1:7" x14ac:dyDescent="0.3">
      <c r="A496" s="25" t="s">
        <v>486</v>
      </c>
      <c r="B496" s="13" t="s">
        <v>592</v>
      </c>
      <c r="C496" s="26">
        <v>45731</v>
      </c>
      <c r="D496" s="26">
        <f>WORKDAY(AR_table!$C496,$J$1)</f>
        <v>45772</v>
      </c>
      <c r="E496" s="27">
        <v>4219.6099999999997</v>
      </c>
      <c r="F496" s="10">
        <f ca="1">IF(AR_table!$D496&gt;=TODAY(),0,NETWORKDAYS(AR_table!$D496,TODAY()))</f>
        <v>209</v>
      </c>
      <c r="G496" s="13" t="str">
        <f ca="1">VLOOKUP(AR_table!$F496,aging_bucket[#All],2)</f>
        <v>&gt;90</v>
      </c>
    </row>
    <row r="497" spans="1:7" x14ac:dyDescent="0.3">
      <c r="A497" s="25" t="s">
        <v>487</v>
      </c>
      <c r="B497" s="13" t="s">
        <v>594</v>
      </c>
      <c r="C497" s="26">
        <v>46112</v>
      </c>
      <c r="D497" s="26">
        <f>WORKDAY(AR_table!$C497,$J$1)</f>
        <v>46154</v>
      </c>
      <c r="E497" s="27">
        <v>3127.27</v>
      </c>
      <c r="F497" s="10">
        <f ca="1">IF(AR_table!$D497&gt;=TODAY(),0,NETWORKDAYS(AR_table!$D497,TODAY()))</f>
        <v>0</v>
      </c>
      <c r="G497" s="13" t="str">
        <f ca="1">VLOOKUP(AR_table!$F497,aging_bucket[#All],2)</f>
        <v>Not due</v>
      </c>
    </row>
    <row r="498" spans="1:7" x14ac:dyDescent="0.3">
      <c r="A498" s="25" t="s">
        <v>488</v>
      </c>
      <c r="B498" s="13" t="s">
        <v>592</v>
      </c>
      <c r="C498" s="26">
        <v>45960</v>
      </c>
      <c r="D498" s="26">
        <f>WORKDAY(AR_table!$C498,$J$1)</f>
        <v>46002</v>
      </c>
      <c r="E498" s="27">
        <v>5614.34</v>
      </c>
      <c r="F498" s="10">
        <f ca="1">IF(AR_table!$D498&gt;=TODAY(),0,NETWORKDAYS(AR_table!$D498,TODAY()))</f>
        <v>45</v>
      </c>
      <c r="G498" s="13" t="str">
        <f ca="1">VLOOKUP(AR_table!$F498,aging_bucket[#All],2)</f>
        <v>31-60</v>
      </c>
    </row>
    <row r="499" spans="1:7" x14ac:dyDescent="0.3">
      <c r="A499" s="12" t="s">
        <v>489</v>
      </c>
      <c r="B499" s="10" t="s">
        <v>595</v>
      </c>
      <c r="C499" s="14">
        <v>45687</v>
      </c>
      <c r="D499" s="14">
        <f>WORKDAY(AR_table!$C499,$J$1)</f>
        <v>45729</v>
      </c>
      <c r="E499" s="15">
        <v>7144.44</v>
      </c>
      <c r="F499" s="10">
        <f ca="1">IF(AR_table!$D499&gt;=TODAY(),0,NETWORKDAYS(AR_table!$D499,TODAY()))</f>
        <v>240</v>
      </c>
      <c r="G499" s="10" t="str">
        <f ca="1">VLOOKUP(AR_table!$F499,aging_bucket[#All],2)</f>
        <v>&gt;90</v>
      </c>
    </row>
    <row r="500" spans="1:7" x14ac:dyDescent="0.3">
      <c r="A500" s="12" t="s">
        <v>490</v>
      </c>
      <c r="B500" s="10" t="s">
        <v>593</v>
      </c>
      <c r="C500" s="14">
        <v>46155</v>
      </c>
      <c r="D500" s="14">
        <f>WORKDAY(AR_table!$C500,$J$1)</f>
        <v>46197</v>
      </c>
      <c r="E500" s="15">
        <v>4558.47</v>
      </c>
      <c r="F500" s="10">
        <f ca="1">IF(AR_table!$D500&gt;=TODAY(),0,NETWORKDAYS(AR_table!$D500,TODAY()))</f>
        <v>0</v>
      </c>
      <c r="G500" s="10" t="str">
        <f ca="1">VLOOKUP(AR_table!$F500,aging_bucket[#All],2)</f>
        <v>Not due</v>
      </c>
    </row>
    <row r="501" spans="1:7" x14ac:dyDescent="0.3">
      <c r="A501" s="25" t="s">
        <v>491</v>
      </c>
      <c r="B501" s="13" t="s">
        <v>592</v>
      </c>
      <c r="C501" s="26">
        <v>45679</v>
      </c>
      <c r="D501" s="26">
        <f>WORKDAY(AR_table!$C501,$J$1)</f>
        <v>45721</v>
      </c>
      <c r="E501" s="27">
        <v>1528</v>
      </c>
      <c r="F501" s="10">
        <f ca="1">IF(AR_table!$D501&gt;=TODAY(),0,NETWORKDAYS(AR_table!$D501,TODAY()))</f>
        <v>246</v>
      </c>
      <c r="G501" s="13" t="str">
        <f ca="1">VLOOKUP(AR_table!$F501,aging_bucket[#All],2)</f>
        <v>&gt;90</v>
      </c>
    </row>
    <row r="502" spans="1:7" x14ac:dyDescent="0.3">
      <c r="A502" s="25" t="s">
        <v>492</v>
      </c>
      <c r="B502" s="13" t="s">
        <v>592</v>
      </c>
      <c r="C502" s="26">
        <v>45746</v>
      </c>
      <c r="D502" s="26">
        <f>WORKDAY(AR_table!$C502,$J$1)</f>
        <v>45786</v>
      </c>
      <c r="E502" s="27">
        <v>4757.3900000000003</v>
      </c>
      <c r="F502" s="10">
        <f ca="1">IF(AR_table!$D502&gt;=TODAY(),0,NETWORKDAYS(AR_table!$D502,TODAY()))</f>
        <v>199</v>
      </c>
      <c r="G502" s="13" t="str">
        <f ca="1">VLOOKUP(AR_table!$F502,aging_bucket[#All],2)</f>
        <v>&gt;90</v>
      </c>
    </row>
    <row r="503" spans="1:7" x14ac:dyDescent="0.3">
      <c r="A503" s="25" t="s">
        <v>493</v>
      </c>
      <c r="B503" s="13" t="s">
        <v>595</v>
      </c>
      <c r="C503" s="26">
        <v>46098</v>
      </c>
      <c r="D503" s="26">
        <f>WORKDAY(AR_table!$C503,$J$1)</f>
        <v>46140</v>
      </c>
      <c r="E503" s="27">
        <v>1445.59</v>
      </c>
      <c r="F503" s="10">
        <f ca="1">IF(AR_table!$D503&gt;=TODAY(),0,NETWORKDAYS(AR_table!$D503,TODAY()))</f>
        <v>0</v>
      </c>
      <c r="G503" s="13" t="str">
        <f ca="1">VLOOKUP(AR_table!$F503,aging_bucket[#All],2)</f>
        <v>Not due</v>
      </c>
    </row>
    <row r="504" spans="1:7" x14ac:dyDescent="0.3">
      <c r="A504" s="25" t="s">
        <v>494</v>
      </c>
      <c r="B504" s="13" t="s">
        <v>594</v>
      </c>
      <c r="C504" s="26">
        <v>45737</v>
      </c>
      <c r="D504" s="26">
        <f>WORKDAY(AR_table!$C504,$J$1)</f>
        <v>45779</v>
      </c>
      <c r="E504" s="27">
        <v>5530.33</v>
      </c>
      <c r="F504" s="10">
        <f ca="1">IF(AR_table!$D504&gt;=TODAY(),0,NETWORKDAYS(AR_table!$D504,TODAY()))</f>
        <v>204</v>
      </c>
      <c r="G504" s="13" t="str">
        <f ca="1">VLOOKUP(AR_table!$F504,aging_bucket[#All],2)</f>
        <v>&gt;90</v>
      </c>
    </row>
    <row r="505" spans="1:7" x14ac:dyDescent="0.3">
      <c r="A505" s="12" t="s">
        <v>495</v>
      </c>
      <c r="B505" s="10" t="s">
        <v>591</v>
      </c>
      <c r="C505" s="14">
        <v>46141</v>
      </c>
      <c r="D505" s="14">
        <f>WORKDAY(AR_table!$C505,$J$1)</f>
        <v>46183</v>
      </c>
      <c r="E505" s="15">
        <v>2790.34</v>
      </c>
      <c r="F505" s="10">
        <f ca="1">IF(AR_table!$D505&gt;=TODAY(),0,NETWORKDAYS(AR_table!$D505,TODAY()))</f>
        <v>0</v>
      </c>
      <c r="G505" s="10" t="str">
        <f ca="1">VLOOKUP(AR_table!$F505,aging_bucket[#All],2)</f>
        <v>Not due</v>
      </c>
    </row>
    <row r="506" spans="1:7" x14ac:dyDescent="0.3">
      <c r="A506" s="25" t="s">
        <v>496</v>
      </c>
      <c r="B506" s="13" t="s">
        <v>591</v>
      </c>
      <c r="C506" s="26">
        <v>45670</v>
      </c>
      <c r="D506" s="26">
        <f>WORKDAY(AR_table!$C506,$J$1)</f>
        <v>45712</v>
      </c>
      <c r="E506" s="27">
        <v>7511.89</v>
      </c>
      <c r="F506" s="10">
        <f ca="1">IF(AR_table!$D506&gt;=TODAY(),0,NETWORKDAYS(AR_table!$D506,TODAY()))</f>
        <v>253</v>
      </c>
      <c r="G506" s="13" t="str">
        <f ca="1">VLOOKUP(AR_table!$F506,aging_bucket[#All],2)</f>
        <v>&gt;90</v>
      </c>
    </row>
    <row r="507" spans="1:7" x14ac:dyDescent="0.3">
      <c r="A507" s="12" t="s">
        <v>497</v>
      </c>
      <c r="B507" s="10" t="s">
        <v>595</v>
      </c>
      <c r="C507" s="14">
        <v>45979</v>
      </c>
      <c r="D507" s="14">
        <f>WORKDAY(AR_table!$C507,$J$1)</f>
        <v>46021</v>
      </c>
      <c r="E507" s="15">
        <v>7449.48</v>
      </c>
      <c r="F507" s="10">
        <f ca="1">IF(AR_table!$D507&gt;=TODAY(),0,NETWORKDAYS(AR_table!$D507,TODAY()))</f>
        <v>32</v>
      </c>
      <c r="G507" s="10" t="str">
        <f ca="1">VLOOKUP(AR_table!$F507,aging_bucket[#All],2)</f>
        <v>31-60</v>
      </c>
    </row>
    <row r="508" spans="1:7" x14ac:dyDescent="0.3">
      <c r="A508" s="25" t="s">
        <v>498</v>
      </c>
      <c r="B508" s="13" t="s">
        <v>591</v>
      </c>
      <c r="C508" s="26">
        <v>45815</v>
      </c>
      <c r="D508" s="26">
        <f>WORKDAY(AR_table!$C508,$J$1)</f>
        <v>45856</v>
      </c>
      <c r="E508" s="27">
        <v>5701.18</v>
      </c>
      <c r="F508" s="10">
        <f ca="1">IF(AR_table!$D508&gt;=TODAY(),0,NETWORKDAYS(AR_table!$D508,TODAY()))</f>
        <v>149</v>
      </c>
      <c r="G508" s="13" t="str">
        <f ca="1">VLOOKUP(AR_table!$F508,aging_bucket[#All],2)</f>
        <v>&gt;90</v>
      </c>
    </row>
    <row r="509" spans="1:7" x14ac:dyDescent="0.3">
      <c r="A509" s="12" t="s">
        <v>499</v>
      </c>
      <c r="B509" s="10" t="s">
        <v>592</v>
      </c>
      <c r="C509" s="14">
        <v>45787</v>
      </c>
      <c r="D509" s="14">
        <f>WORKDAY(AR_table!$C509,$J$1)</f>
        <v>45828</v>
      </c>
      <c r="E509" s="15">
        <v>2707.82</v>
      </c>
      <c r="F509" s="10">
        <f ca="1">IF(AR_table!$D509&gt;=TODAY(),0,NETWORKDAYS(AR_table!$D509,TODAY()))</f>
        <v>169</v>
      </c>
      <c r="G509" s="10" t="str">
        <f ca="1">VLOOKUP(AR_table!$F509,aging_bucket[#All],2)</f>
        <v>&gt;90</v>
      </c>
    </row>
    <row r="510" spans="1:7" x14ac:dyDescent="0.3">
      <c r="A510" s="25" t="s">
        <v>500</v>
      </c>
      <c r="B510" s="13" t="s">
        <v>592</v>
      </c>
      <c r="C510" s="26">
        <v>46039</v>
      </c>
      <c r="D510" s="26">
        <f>WORKDAY(AR_table!$C510,$J$1)</f>
        <v>46080</v>
      </c>
      <c r="E510" s="27">
        <v>289.7</v>
      </c>
      <c r="F510" s="10">
        <f ca="1">IF(AR_table!$D510&gt;=TODAY(),0,NETWORKDAYS(AR_table!$D510,TODAY()))</f>
        <v>0</v>
      </c>
      <c r="G510" s="13" t="str">
        <f ca="1">VLOOKUP(AR_table!$F510,aging_bucket[#All],2)</f>
        <v>Not due</v>
      </c>
    </row>
    <row r="511" spans="1:7" x14ac:dyDescent="0.3">
      <c r="A511" s="12" t="s">
        <v>501</v>
      </c>
      <c r="B511" s="10" t="s">
        <v>594</v>
      </c>
      <c r="C511" s="14">
        <v>46181</v>
      </c>
      <c r="D511" s="14">
        <f>WORKDAY(AR_table!$C511,$J$1)</f>
        <v>46223</v>
      </c>
      <c r="E511" s="15">
        <v>3246.06</v>
      </c>
      <c r="F511" s="10">
        <f ca="1">IF(AR_table!$D511&gt;=TODAY(),0,NETWORKDAYS(AR_table!$D511,TODAY()))</f>
        <v>0</v>
      </c>
      <c r="G511" s="10" t="str">
        <f ca="1">VLOOKUP(AR_table!$F511,aging_bucket[#All],2)</f>
        <v>Not due</v>
      </c>
    </row>
    <row r="512" spans="1:7" x14ac:dyDescent="0.3">
      <c r="A512" s="12" t="s">
        <v>502</v>
      </c>
      <c r="B512" s="10" t="s">
        <v>591</v>
      </c>
      <c r="C512" s="14">
        <v>45698</v>
      </c>
      <c r="D512" s="14">
        <f>WORKDAY(AR_table!$C512,$J$1)</f>
        <v>45740</v>
      </c>
      <c r="E512" s="15">
        <v>4564.2</v>
      </c>
      <c r="F512" s="10">
        <f ca="1">IF(AR_table!$D512&gt;=TODAY(),0,NETWORKDAYS(AR_table!$D512,TODAY()))</f>
        <v>233</v>
      </c>
      <c r="G512" s="10" t="str">
        <f ca="1">VLOOKUP(AR_table!$F512,aging_bucket[#All],2)</f>
        <v>&gt;90</v>
      </c>
    </row>
    <row r="513" spans="1:7" x14ac:dyDescent="0.3">
      <c r="A513" s="12" t="s">
        <v>503</v>
      </c>
      <c r="B513" s="10" t="s">
        <v>595</v>
      </c>
      <c r="C513" s="14">
        <v>45873</v>
      </c>
      <c r="D513" s="14">
        <f>WORKDAY(AR_table!$C513,$J$1)</f>
        <v>45915</v>
      </c>
      <c r="E513" s="15">
        <v>4181.1899999999996</v>
      </c>
      <c r="F513" s="10">
        <f ca="1">IF(AR_table!$D513&gt;=TODAY(),0,NETWORKDAYS(AR_table!$D513,TODAY()))</f>
        <v>108</v>
      </c>
      <c r="G513" s="10" t="str">
        <f ca="1">VLOOKUP(AR_table!$F513,aging_bucket[#All],2)</f>
        <v>&gt;90</v>
      </c>
    </row>
    <row r="514" spans="1:7" x14ac:dyDescent="0.3">
      <c r="A514" s="12" t="s">
        <v>504</v>
      </c>
      <c r="B514" s="10" t="s">
        <v>594</v>
      </c>
      <c r="C514" s="14">
        <v>45891</v>
      </c>
      <c r="D514" s="14">
        <f>WORKDAY(AR_table!$C514,$J$1)</f>
        <v>45933</v>
      </c>
      <c r="E514" s="15">
        <v>5261.47</v>
      </c>
      <c r="F514" s="10">
        <f ca="1">IF(AR_table!$D514&gt;=TODAY(),0,NETWORKDAYS(AR_table!$D514,TODAY()))</f>
        <v>94</v>
      </c>
      <c r="G514" s="10" t="str">
        <f ca="1">VLOOKUP(AR_table!$F514,aging_bucket[#All],2)</f>
        <v>&gt;90</v>
      </c>
    </row>
    <row r="515" spans="1:7" x14ac:dyDescent="0.3">
      <c r="A515" s="25" t="s">
        <v>505</v>
      </c>
      <c r="B515" s="13" t="s">
        <v>595</v>
      </c>
      <c r="C515" s="26">
        <v>45994</v>
      </c>
      <c r="D515" s="26">
        <f>WORKDAY(AR_table!$C515,$J$1)</f>
        <v>46036</v>
      </c>
      <c r="E515" s="27">
        <v>4961.4399999999996</v>
      </c>
      <c r="F515" s="10">
        <f ca="1">IF(AR_table!$D515&gt;=TODAY(),0,NETWORKDAYS(AR_table!$D515,TODAY()))</f>
        <v>21</v>
      </c>
      <c r="G515" s="13" t="str">
        <f ca="1">VLOOKUP(AR_table!$F515,aging_bucket[#All],2)</f>
        <v>1-30</v>
      </c>
    </row>
    <row r="516" spans="1:7" x14ac:dyDescent="0.3">
      <c r="A516" s="25" t="s">
        <v>506</v>
      </c>
      <c r="B516" s="13" t="s">
        <v>592</v>
      </c>
      <c r="C516" s="26">
        <v>46146</v>
      </c>
      <c r="D516" s="26">
        <f>WORKDAY(AR_table!$C516,$J$1)</f>
        <v>46188</v>
      </c>
      <c r="E516" s="27">
        <v>556.26</v>
      </c>
      <c r="F516" s="10">
        <f ca="1">IF(AR_table!$D516&gt;=TODAY(),0,NETWORKDAYS(AR_table!$D516,TODAY()))</f>
        <v>0</v>
      </c>
      <c r="G516" s="13" t="str">
        <f ca="1">VLOOKUP(AR_table!$F516,aging_bucket[#All],2)</f>
        <v>Not due</v>
      </c>
    </row>
    <row r="517" spans="1:7" x14ac:dyDescent="0.3">
      <c r="A517" s="12" t="s">
        <v>507</v>
      </c>
      <c r="B517" s="10" t="s">
        <v>595</v>
      </c>
      <c r="C517" s="14">
        <v>46117</v>
      </c>
      <c r="D517" s="14">
        <f>WORKDAY(AR_table!$C517,$J$1)</f>
        <v>46157</v>
      </c>
      <c r="E517" s="15">
        <v>3646.79</v>
      </c>
      <c r="F517" s="10">
        <f ca="1">IF(AR_table!$D517&gt;=TODAY(),0,NETWORKDAYS(AR_table!$D517,TODAY()))</f>
        <v>0</v>
      </c>
      <c r="G517" s="10" t="str">
        <f ca="1">VLOOKUP(AR_table!$F517,aging_bucket[#All],2)</f>
        <v>Not due</v>
      </c>
    </row>
    <row r="518" spans="1:7" x14ac:dyDescent="0.3">
      <c r="A518" s="12" t="s">
        <v>508</v>
      </c>
      <c r="B518" s="10" t="s">
        <v>594</v>
      </c>
      <c r="C518" s="14">
        <v>45761</v>
      </c>
      <c r="D518" s="14">
        <f>WORKDAY(AR_table!$C518,$J$1)</f>
        <v>45803</v>
      </c>
      <c r="E518" s="15">
        <v>3961.35</v>
      </c>
      <c r="F518" s="10">
        <f ca="1">IF(AR_table!$D518&gt;=TODAY(),0,NETWORKDAYS(AR_table!$D518,TODAY()))</f>
        <v>188</v>
      </c>
      <c r="G518" s="10" t="str">
        <f ca="1">VLOOKUP(AR_table!$F518,aging_bucket[#All],2)</f>
        <v>&gt;90</v>
      </c>
    </row>
    <row r="519" spans="1:7" x14ac:dyDescent="0.3">
      <c r="A519" s="12" t="s">
        <v>509</v>
      </c>
      <c r="B519" s="10" t="s">
        <v>594</v>
      </c>
      <c r="C519" s="14">
        <v>45684</v>
      </c>
      <c r="D519" s="14">
        <f>WORKDAY(AR_table!$C519,$J$1)</f>
        <v>45726</v>
      </c>
      <c r="E519" s="15">
        <v>1812.47</v>
      </c>
      <c r="F519" s="10">
        <f ca="1">IF(AR_table!$D519&gt;=TODAY(),0,NETWORKDAYS(AR_table!$D519,TODAY()))</f>
        <v>243</v>
      </c>
      <c r="G519" s="10" t="str">
        <f ca="1">VLOOKUP(AR_table!$F519,aging_bucket[#All],2)</f>
        <v>&gt;90</v>
      </c>
    </row>
    <row r="520" spans="1:7" x14ac:dyDescent="0.3">
      <c r="A520" s="25" t="s">
        <v>510</v>
      </c>
      <c r="B520" s="13" t="s">
        <v>595</v>
      </c>
      <c r="C520" s="26">
        <v>46006</v>
      </c>
      <c r="D520" s="26">
        <f>WORKDAY(AR_table!$C520,$J$1)</f>
        <v>46048</v>
      </c>
      <c r="E520" s="27">
        <v>661.49</v>
      </c>
      <c r="F520" s="10">
        <f ca="1">IF(AR_table!$D520&gt;=TODAY(),0,NETWORKDAYS(AR_table!$D520,TODAY()))</f>
        <v>13</v>
      </c>
      <c r="G520" s="13" t="str">
        <f ca="1">VLOOKUP(AR_table!$F520,aging_bucket[#All],2)</f>
        <v>1-30</v>
      </c>
    </row>
    <row r="521" spans="1:7" x14ac:dyDescent="0.3">
      <c r="A521" s="25" t="s">
        <v>511</v>
      </c>
      <c r="B521" s="13" t="s">
        <v>594</v>
      </c>
      <c r="C521" s="26">
        <v>45705</v>
      </c>
      <c r="D521" s="26">
        <f>WORKDAY(AR_table!$C521,$J$1)</f>
        <v>45747</v>
      </c>
      <c r="E521" s="27">
        <v>1061.81</v>
      </c>
      <c r="F521" s="10">
        <f ca="1">IF(AR_table!$D521&gt;=TODAY(),0,NETWORKDAYS(AR_table!$D521,TODAY()))</f>
        <v>228</v>
      </c>
      <c r="G521" s="13" t="str">
        <f ca="1">VLOOKUP(AR_table!$F521,aging_bucket[#All],2)</f>
        <v>&gt;90</v>
      </c>
    </row>
    <row r="522" spans="1:7" x14ac:dyDescent="0.3">
      <c r="A522" s="25" t="s">
        <v>512</v>
      </c>
      <c r="B522" s="13" t="s">
        <v>593</v>
      </c>
      <c r="C522" s="26">
        <v>45998</v>
      </c>
      <c r="D522" s="26">
        <f>WORKDAY(AR_table!$C522,$J$1)</f>
        <v>46038</v>
      </c>
      <c r="E522" s="27">
        <v>3464.63</v>
      </c>
      <c r="F522" s="10">
        <f ca="1">IF(AR_table!$D522&gt;=TODAY(),0,NETWORKDAYS(AR_table!$D522,TODAY()))</f>
        <v>19</v>
      </c>
      <c r="G522" s="13" t="str">
        <f ca="1">VLOOKUP(AR_table!$F522,aging_bucket[#All],2)</f>
        <v>1-30</v>
      </c>
    </row>
    <row r="523" spans="1:7" x14ac:dyDescent="0.3">
      <c r="A523" s="12" t="s">
        <v>513</v>
      </c>
      <c r="B523" s="10" t="s">
        <v>592</v>
      </c>
      <c r="C523" s="14">
        <v>45961</v>
      </c>
      <c r="D523" s="14">
        <f>WORKDAY(AR_table!$C523,$J$1)</f>
        <v>46003</v>
      </c>
      <c r="E523" s="15">
        <v>686.86</v>
      </c>
      <c r="F523" s="10">
        <f ca="1">IF(AR_table!$D523&gt;=TODAY(),0,NETWORKDAYS(AR_table!$D523,TODAY()))</f>
        <v>44</v>
      </c>
      <c r="G523" s="10" t="str">
        <f ca="1">VLOOKUP(AR_table!$F523,aging_bucket[#All],2)</f>
        <v>31-60</v>
      </c>
    </row>
    <row r="524" spans="1:7" x14ac:dyDescent="0.3">
      <c r="A524" s="12" t="s">
        <v>514</v>
      </c>
      <c r="B524" s="10" t="s">
        <v>593</v>
      </c>
      <c r="C524" s="14">
        <v>45818</v>
      </c>
      <c r="D524" s="14">
        <f>WORKDAY(AR_table!$C524,$J$1)</f>
        <v>45860</v>
      </c>
      <c r="E524" s="15">
        <v>7091.17</v>
      </c>
      <c r="F524" s="10">
        <f ca="1">IF(AR_table!$D524&gt;=TODAY(),0,NETWORKDAYS(AR_table!$D524,TODAY()))</f>
        <v>147</v>
      </c>
      <c r="G524" s="10" t="str">
        <f ca="1">VLOOKUP(AR_table!$F524,aging_bucket[#All],2)</f>
        <v>&gt;90</v>
      </c>
    </row>
    <row r="525" spans="1:7" x14ac:dyDescent="0.3">
      <c r="A525" s="25" t="s">
        <v>515</v>
      </c>
      <c r="B525" s="13" t="s">
        <v>595</v>
      </c>
      <c r="C525" s="26">
        <v>45770</v>
      </c>
      <c r="D525" s="26">
        <f>WORKDAY(AR_table!$C525,$J$1)</f>
        <v>45812</v>
      </c>
      <c r="E525" s="27">
        <v>7699.12</v>
      </c>
      <c r="F525" s="10">
        <f ca="1">IF(AR_table!$D525&gt;=TODAY(),0,NETWORKDAYS(AR_table!$D525,TODAY()))</f>
        <v>181</v>
      </c>
      <c r="G525" s="13" t="str">
        <f ca="1">VLOOKUP(AR_table!$F525,aging_bucket[#All],2)</f>
        <v>&gt;90</v>
      </c>
    </row>
    <row r="526" spans="1:7" x14ac:dyDescent="0.3">
      <c r="A526" s="25" t="s">
        <v>516</v>
      </c>
      <c r="B526" s="13" t="s">
        <v>593</v>
      </c>
      <c r="C526" s="26">
        <v>45741</v>
      </c>
      <c r="D526" s="26">
        <f>WORKDAY(AR_table!$C526,$J$1)</f>
        <v>45783</v>
      </c>
      <c r="E526" s="27">
        <v>2075.5</v>
      </c>
      <c r="F526" s="10">
        <f ca="1">IF(AR_table!$D526&gt;=TODAY(),0,NETWORKDAYS(AR_table!$D526,TODAY()))</f>
        <v>202</v>
      </c>
      <c r="G526" s="13" t="str">
        <f ca="1">VLOOKUP(AR_table!$F526,aging_bucket[#All],2)</f>
        <v>&gt;90</v>
      </c>
    </row>
    <row r="527" spans="1:7" x14ac:dyDescent="0.3">
      <c r="A527" s="12" t="s">
        <v>517</v>
      </c>
      <c r="B527" s="10" t="s">
        <v>593</v>
      </c>
      <c r="C527" s="14">
        <v>45840</v>
      </c>
      <c r="D527" s="14">
        <f>WORKDAY(AR_table!$C527,$J$1)</f>
        <v>45882</v>
      </c>
      <c r="E527" s="15">
        <v>1547.05</v>
      </c>
      <c r="F527" s="10">
        <f ca="1">IF(AR_table!$D527&gt;=TODAY(),0,NETWORKDAYS(AR_table!$D527,TODAY()))</f>
        <v>131</v>
      </c>
      <c r="G527" s="10" t="str">
        <f ca="1">VLOOKUP(AR_table!$F527,aging_bucket[#All],2)</f>
        <v>&gt;90</v>
      </c>
    </row>
    <row r="528" spans="1:7" x14ac:dyDescent="0.3">
      <c r="A528" s="25" t="s">
        <v>518</v>
      </c>
      <c r="B528" s="13" t="s">
        <v>593</v>
      </c>
      <c r="C528" s="26">
        <v>46132</v>
      </c>
      <c r="D528" s="26">
        <f>WORKDAY(AR_table!$C528,$J$1)</f>
        <v>46174</v>
      </c>
      <c r="E528" s="27">
        <v>200.4</v>
      </c>
      <c r="F528" s="10">
        <f ca="1">IF(AR_table!$D528&gt;=TODAY(),0,NETWORKDAYS(AR_table!$D528,TODAY()))</f>
        <v>0</v>
      </c>
      <c r="G528" s="13" t="str">
        <f ca="1">VLOOKUP(AR_table!$F528,aging_bucket[#All],2)</f>
        <v>Not due</v>
      </c>
    </row>
    <row r="529" spans="1:7" x14ac:dyDescent="0.3">
      <c r="A529" s="12" t="s">
        <v>519</v>
      </c>
      <c r="B529" s="10" t="s">
        <v>594</v>
      </c>
      <c r="C529" s="14">
        <v>45892</v>
      </c>
      <c r="D529" s="14">
        <f>WORKDAY(AR_table!$C529,$J$1)</f>
        <v>45933</v>
      </c>
      <c r="E529" s="15">
        <v>1095.1199999999999</v>
      </c>
      <c r="F529" s="10">
        <f ca="1">IF(AR_table!$D529&gt;=TODAY(),0,NETWORKDAYS(AR_table!$D529,TODAY()))</f>
        <v>94</v>
      </c>
      <c r="G529" s="10" t="str">
        <f ca="1">VLOOKUP(AR_table!$F529,aging_bucket[#All],2)</f>
        <v>&gt;90</v>
      </c>
    </row>
    <row r="530" spans="1:7" x14ac:dyDescent="0.3">
      <c r="A530" s="25" t="s">
        <v>520</v>
      </c>
      <c r="B530" s="13" t="s">
        <v>591</v>
      </c>
      <c r="C530" s="26">
        <v>45703</v>
      </c>
      <c r="D530" s="26">
        <f>WORKDAY(AR_table!$C530,$J$1)</f>
        <v>45744</v>
      </c>
      <c r="E530" s="27">
        <v>674.83</v>
      </c>
      <c r="F530" s="10">
        <f ca="1">IF(AR_table!$D530&gt;=TODAY(),0,NETWORKDAYS(AR_table!$D530,TODAY()))</f>
        <v>229</v>
      </c>
      <c r="G530" s="13" t="str">
        <f ca="1">VLOOKUP(AR_table!$F530,aging_bucket[#All],2)</f>
        <v>&gt;90</v>
      </c>
    </row>
    <row r="531" spans="1:7" x14ac:dyDescent="0.3">
      <c r="A531" s="12" t="s">
        <v>521</v>
      </c>
      <c r="B531" s="10" t="s">
        <v>594</v>
      </c>
      <c r="C531" s="14">
        <v>45945</v>
      </c>
      <c r="D531" s="14">
        <f>WORKDAY(AR_table!$C531,$J$1)</f>
        <v>45987</v>
      </c>
      <c r="E531" s="15">
        <v>631.80999999999995</v>
      </c>
      <c r="F531" s="10">
        <f ca="1">IF(AR_table!$D531&gt;=TODAY(),0,NETWORKDAYS(AR_table!$D531,TODAY()))</f>
        <v>56</v>
      </c>
      <c r="G531" s="10" t="str">
        <f ca="1">VLOOKUP(AR_table!$F531,aging_bucket[#All],2)</f>
        <v>31-60</v>
      </c>
    </row>
    <row r="532" spans="1:7" x14ac:dyDescent="0.3">
      <c r="A532" s="25" t="s">
        <v>522</v>
      </c>
      <c r="B532" s="13" t="s">
        <v>594</v>
      </c>
      <c r="C532" s="26">
        <v>45939</v>
      </c>
      <c r="D532" s="26">
        <f>WORKDAY(AR_table!$C532,$J$1)</f>
        <v>45981</v>
      </c>
      <c r="E532" s="27">
        <v>6298.56</v>
      </c>
      <c r="F532" s="10">
        <f ca="1">IF(AR_table!$D532&gt;=TODAY(),0,NETWORKDAYS(AR_table!$D532,TODAY()))</f>
        <v>60</v>
      </c>
      <c r="G532" s="13" t="str">
        <f ca="1">VLOOKUP(AR_table!$F532,aging_bucket[#All],2)</f>
        <v>31-60</v>
      </c>
    </row>
    <row r="533" spans="1:7" x14ac:dyDescent="0.3">
      <c r="A533" s="12" t="s">
        <v>523</v>
      </c>
      <c r="B533" s="10" t="s">
        <v>593</v>
      </c>
      <c r="C533" s="14">
        <v>45712</v>
      </c>
      <c r="D533" s="14">
        <f>WORKDAY(AR_table!$C533,$J$1)</f>
        <v>45754</v>
      </c>
      <c r="E533" s="15">
        <v>340.12</v>
      </c>
      <c r="F533" s="10">
        <f ca="1">IF(AR_table!$D533&gt;=TODAY(),0,NETWORKDAYS(AR_table!$D533,TODAY()))</f>
        <v>223</v>
      </c>
      <c r="G533" s="10" t="str">
        <f ca="1">VLOOKUP(AR_table!$F533,aging_bucket[#All],2)</f>
        <v>&gt;90</v>
      </c>
    </row>
    <row r="534" spans="1:7" x14ac:dyDescent="0.3">
      <c r="A534" s="25" t="s">
        <v>524</v>
      </c>
      <c r="B534" s="13" t="s">
        <v>592</v>
      </c>
      <c r="C534" s="26">
        <v>45724</v>
      </c>
      <c r="D534" s="26">
        <f>WORKDAY(AR_table!$C534,$J$1)</f>
        <v>45765</v>
      </c>
      <c r="E534" s="27">
        <v>3782.01</v>
      </c>
      <c r="F534" s="10">
        <f ca="1">IF(AR_table!$D534&gt;=TODAY(),0,NETWORKDAYS(AR_table!$D534,TODAY()))</f>
        <v>214</v>
      </c>
      <c r="G534" s="13" t="str">
        <f ca="1">VLOOKUP(AR_table!$F534,aging_bucket[#All],2)</f>
        <v>&gt;90</v>
      </c>
    </row>
    <row r="535" spans="1:7" x14ac:dyDescent="0.3">
      <c r="A535" s="12" t="s">
        <v>525</v>
      </c>
      <c r="B535" s="10" t="s">
        <v>593</v>
      </c>
      <c r="C535" s="14">
        <v>45752</v>
      </c>
      <c r="D535" s="14">
        <f>WORKDAY(AR_table!$C535,$J$1)</f>
        <v>45793</v>
      </c>
      <c r="E535" s="15">
        <v>2705.53</v>
      </c>
      <c r="F535" s="10">
        <f ca="1">IF(AR_table!$D535&gt;=TODAY(),0,NETWORKDAYS(AR_table!$D535,TODAY()))</f>
        <v>194</v>
      </c>
      <c r="G535" s="10" t="str">
        <f ca="1">VLOOKUP(AR_table!$F535,aging_bucket[#All],2)</f>
        <v>&gt;90</v>
      </c>
    </row>
    <row r="536" spans="1:7" x14ac:dyDescent="0.3">
      <c r="A536" s="12" t="s">
        <v>526</v>
      </c>
      <c r="B536" s="10" t="s">
        <v>593</v>
      </c>
      <c r="C536" s="14">
        <v>46119</v>
      </c>
      <c r="D536" s="14">
        <f>WORKDAY(AR_table!$C536,$J$1)</f>
        <v>46161</v>
      </c>
      <c r="E536" s="15">
        <v>1545.02</v>
      </c>
      <c r="F536" s="10">
        <f ca="1">IF(AR_table!$D536&gt;=TODAY(),0,NETWORKDAYS(AR_table!$D536,TODAY()))</f>
        <v>0</v>
      </c>
      <c r="G536" s="10" t="str">
        <f ca="1">VLOOKUP(AR_table!$F536,aging_bucket[#All],2)</f>
        <v>Not due</v>
      </c>
    </row>
    <row r="537" spans="1:7" x14ac:dyDescent="0.3">
      <c r="A537" s="25" t="s">
        <v>527</v>
      </c>
      <c r="B537" s="13" t="s">
        <v>593</v>
      </c>
      <c r="C537" s="26">
        <v>45943</v>
      </c>
      <c r="D537" s="26">
        <f>WORKDAY(AR_table!$C537,$J$1)</f>
        <v>45985</v>
      </c>
      <c r="E537" s="27">
        <v>2254.5500000000002</v>
      </c>
      <c r="F537" s="10">
        <f ca="1">IF(AR_table!$D537&gt;=TODAY(),0,NETWORKDAYS(AR_table!$D537,TODAY()))</f>
        <v>58</v>
      </c>
      <c r="G537" s="13" t="str">
        <f ca="1">VLOOKUP(AR_table!$F537,aging_bucket[#All],2)</f>
        <v>31-60</v>
      </c>
    </row>
    <row r="538" spans="1:7" x14ac:dyDescent="0.3">
      <c r="A538" s="12" t="s">
        <v>528</v>
      </c>
      <c r="B538" s="10" t="s">
        <v>593</v>
      </c>
      <c r="C538" s="14">
        <v>45872</v>
      </c>
      <c r="D538" s="14">
        <f>WORKDAY(AR_table!$C538,$J$1)</f>
        <v>45912</v>
      </c>
      <c r="E538" s="15">
        <v>4568.71</v>
      </c>
      <c r="F538" s="10">
        <f ca="1">IF(AR_table!$D538&gt;=TODAY(),0,NETWORKDAYS(AR_table!$D538,TODAY()))</f>
        <v>109</v>
      </c>
      <c r="G538" s="10" t="str">
        <f ca="1">VLOOKUP(AR_table!$F538,aging_bucket[#All],2)</f>
        <v>&gt;90</v>
      </c>
    </row>
    <row r="539" spans="1:7" x14ac:dyDescent="0.3">
      <c r="A539" s="25" t="s">
        <v>529</v>
      </c>
      <c r="B539" s="13" t="s">
        <v>593</v>
      </c>
      <c r="C539" s="26">
        <v>45716</v>
      </c>
      <c r="D539" s="26">
        <f>WORKDAY(AR_table!$C539,$J$1)</f>
        <v>45758</v>
      </c>
      <c r="E539" s="27">
        <v>6487.26</v>
      </c>
      <c r="F539" s="10">
        <f ca="1">IF(AR_table!$D539&gt;=TODAY(),0,NETWORKDAYS(AR_table!$D539,TODAY()))</f>
        <v>219</v>
      </c>
      <c r="G539" s="13" t="str">
        <f ca="1">VLOOKUP(AR_table!$F539,aging_bucket[#All],2)</f>
        <v>&gt;90</v>
      </c>
    </row>
    <row r="540" spans="1:7" x14ac:dyDescent="0.3">
      <c r="A540" s="12" t="s">
        <v>530</v>
      </c>
      <c r="B540" s="10" t="s">
        <v>592</v>
      </c>
      <c r="C540" s="14">
        <v>45957</v>
      </c>
      <c r="D540" s="14">
        <f>WORKDAY(AR_table!$C540,$J$1)</f>
        <v>45999</v>
      </c>
      <c r="E540" s="15">
        <v>4068.12</v>
      </c>
      <c r="F540" s="10">
        <f ca="1">IF(AR_table!$D540&gt;=TODAY(),0,NETWORKDAYS(AR_table!$D540,TODAY()))</f>
        <v>48</v>
      </c>
      <c r="G540" s="10" t="str">
        <f ca="1">VLOOKUP(AR_table!$F540,aging_bucket[#All],2)</f>
        <v>31-60</v>
      </c>
    </row>
    <row r="541" spans="1:7" x14ac:dyDescent="0.3">
      <c r="A541" s="25" t="s">
        <v>531</v>
      </c>
      <c r="B541" s="13" t="s">
        <v>595</v>
      </c>
      <c r="C541" s="26">
        <v>45996</v>
      </c>
      <c r="D541" s="26">
        <f>WORKDAY(AR_table!$C541,$J$1)</f>
        <v>46038</v>
      </c>
      <c r="E541" s="27">
        <v>6480.06</v>
      </c>
      <c r="F541" s="10">
        <f ca="1">IF(AR_table!$D541&gt;=TODAY(),0,NETWORKDAYS(AR_table!$D541,TODAY()))</f>
        <v>19</v>
      </c>
      <c r="G541" s="13" t="str">
        <f ca="1">VLOOKUP(AR_table!$F541,aging_bucket[#All],2)</f>
        <v>1-30</v>
      </c>
    </row>
    <row r="542" spans="1:7" x14ac:dyDescent="0.3">
      <c r="A542" s="12" t="s">
        <v>532</v>
      </c>
      <c r="B542" s="10" t="s">
        <v>591</v>
      </c>
      <c r="C542" s="14">
        <v>45882</v>
      </c>
      <c r="D542" s="14">
        <f>WORKDAY(AR_table!$C542,$J$1)</f>
        <v>45924</v>
      </c>
      <c r="E542" s="15">
        <v>3518.68</v>
      </c>
      <c r="F542" s="10">
        <f ca="1">IF(AR_table!$D542&gt;=TODAY(),0,NETWORKDAYS(AR_table!$D542,TODAY()))</f>
        <v>101</v>
      </c>
      <c r="G542" s="10" t="str">
        <f ca="1">VLOOKUP(AR_table!$F542,aging_bucket[#All],2)</f>
        <v>&gt;90</v>
      </c>
    </row>
    <row r="543" spans="1:7" x14ac:dyDescent="0.3">
      <c r="A543" s="25" t="s">
        <v>533</v>
      </c>
      <c r="B543" s="13" t="s">
        <v>591</v>
      </c>
      <c r="C543" s="26">
        <v>45670</v>
      </c>
      <c r="D543" s="26">
        <f>WORKDAY(AR_table!$C543,$J$1)</f>
        <v>45712</v>
      </c>
      <c r="E543" s="27">
        <v>4965.96</v>
      </c>
      <c r="F543" s="10">
        <f ca="1">IF(AR_table!$D543&gt;=TODAY(),0,NETWORKDAYS(AR_table!$D543,TODAY()))</f>
        <v>253</v>
      </c>
      <c r="G543" s="13" t="str">
        <f ca="1">VLOOKUP(AR_table!$F543,aging_bucket[#All],2)</f>
        <v>&gt;90</v>
      </c>
    </row>
    <row r="544" spans="1:7" x14ac:dyDescent="0.3">
      <c r="A544" s="12" t="s">
        <v>534</v>
      </c>
      <c r="B544" s="10" t="s">
        <v>592</v>
      </c>
      <c r="C544" s="14">
        <v>46022</v>
      </c>
      <c r="D544" s="14">
        <f>WORKDAY(AR_table!$C544,$J$1)</f>
        <v>46064</v>
      </c>
      <c r="E544" s="15">
        <v>4868.8900000000003</v>
      </c>
      <c r="F544" s="10">
        <f ca="1">IF(AR_table!$D544&gt;=TODAY(),0,NETWORKDAYS(AR_table!$D544,TODAY()))</f>
        <v>0</v>
      </c>
      <c r="G544" s="10" t="str">
        <f ca="1">VLOOKUP(AR_table!$F544,aging_bucket[#All],2)</f>
        <v>Not due</v>
      </c>
    </row>
    <row r="545" spans="1:7" x14ac:dyDescent="0.3">
      <c r="A545" s="25" t="s">
        <v>535</v>
      </c>
      <c r="B545" s="13" t="s">
        <v>593</v>
      </c>
      <c r="C545" s="26">
        <v>46179</v>
      </c>
      <c r="D545" s="26">
        <f>WORKDAY(AR_table!$C545,$J$1)</f>
        <v>46220</v>
      </c>
      <c r="E545" s="27">
        <v>5185.96</v>
      </c>
      <c r="F545" s="10">
        <f ca="1">IF(AR_table!$D545&gt;=TODAY(),0,NETWORKDAYS(AR_table!$D545,TODAY()))</f>
        <v>0</v>
      </c>
      <c r="G545" s="13" t="str">
        <f ca="1">VLOOKUP(AR_table!$F545,aging_bucket[#All],2)</f>
        <v>Not due</v>
      </c>
    </row>
    <row r="546" spans="1:7" x14ac:dyDescent="0.3">
      <c r="A546" s="12" t="s">
        <v>536</v>
      </c>
      <c r="B546" s="10" t="s">
        <v>592</v>
      </c>
      <c r="C546" s="14">
        <v>45668</v>
      </c>
      <c r="D546" s="14">
        <f>WORKDAY(AR_table!$C546,$J$1)</f>
        <v>45709</v>
      </c>
      <c r="E546" s="15">
        <v>4303.5600000000004</v>
      </c>
      <c r="F546" s="10">
        <f ca="1">IF(AR_table!$D546&gt;=TODAY(),0,NETWORKDAYS(AR_table!$D546,TODAY()))</f>
        <v>254</v>
      </c>
      <c r="G546" s="10" t="str">
        <f ca="1">VLOOKUP(AR_table!$F546,aging_bucket[#All],2)</f>
        <v>&gt;90</v>
      </c>
    </row>
    <row r="547" spans="1:7" x14ac:dyDescent="0.3">
      <c r="A547" s="25" t="s">
        <v>537</v>
      </c>
      <c r="B547" s="13" t="s">
        <v>591</v>
      </c>
      <c r="C547" s="26">
        <v>45839</v>
      </c>
      <c r="D547" s="26">
        <f>WORKDAY(AR_table!$C547,$J$1)</f>
        <v>45881</v>
      </c>
      <c r="E547" s="27">
        <v>6011.5</v>
      </c>
      <c r="F547" s="10">
        <f ca="1">IF(AR_table!$D547&gt;=TODAY(),0,NETWORKDAYS(AR_table!$D547,TODAY()))</f>
        <v>132</v>
      </c>
      <c r="G547" s="13" t="str">
        <f ca="1">VLOOKUP(AR_table!$F547,aging_bucket[#All],2)</f>
        <v>&gt;90</v>
      </c>
    </row>
    <row r="548" spans="1:7" x14ac:dyDescent="0.3">
      <c r="A548" s="12" t="s">
        <v>538</v>
      </c>
      <c r="B548" s="10" t="s">
        <v>594</v>
      </c>
      <c r="C548" s="14">
        <v>46037</v>
      </c>
      <c r="D548" s="14">
        <f>WORKDAY(AR_table!$C548,$J$1)</f>
        <v>46079</v>
      </c>
      <c r="E548" s="15">
        <v>3111.71</v>
      </c>
      <c r="F548" s="10">
        <f ca="1">IF(AR_table!$D548&gt;=TODAY(),0,NETWORKDAYS(AR_table!$D548,TODAY()))</f>
        <v>0</v>
      </c>
      <c r="G548" s="10" t="str">
        <f ca="1">VLOOKUP(AR_table!$F548,aging_bucket[#All],2)</f>
        <v>Not due</v>
      </c>
    </row>
    <row r="549" spans="1:7" x14ac:dyDescent="0.3">
      <c r="A549" s="25" t="s">
        <v>539</v>
      </c>
      <c r="B549" s="13" t="s">
        <v>595</v>
      </c>
      <c r="C549" s="26">
        <v>45983</v>
      </c>
      <c r="D549" s="26">
        <f>WORKDAY(AR_table!$C549,$J$1)</f>
        <v>46024</v>
      </c>
      <c r="E549" s="27">
        <v>7891.74</v>
      </c>
      <c r="F549" s="10">
        <f ca="1">IF(AR_table!$D549&gt;=TODAY(),0,NETWORKDAYS(AR_table!$D549,TODAY()))</f>
        <v>29</v>
      </c>
      <c r="G549" s="13" t="str">
        <f ca="1">VLOOKUP(AR_table!$F549,aging_bucket[#All],2)</f>
        <v>1-30</v>
      </c>
    </row>
    <row r="550" spans="1:7" x14ac:dyDescent="0.3">
      <c r="A550" s="12" t="s">
        <v>540</v>
      </c>
      <c r="B550" s="10" t="s">
        <v>593</v>
      </c>
      <c r="C550" s="14">
        <v>46016</v>
      </c>
      <c r="D550" s="14">
        <f>WORKDAY(AR_table!$C550,$J$1)</f>
        <v>46058</v>
      </c>
      <c r="E550" s="15">
        <v>4155.67</v>
      </c>
      <c r="F550" s="10">
        <f ca="1">IF(AR_table!$D550&gt;=TODAY(),0,NETWORKDAYS(AR_table!$D550,TODAY()))</f>
        <v>5</v>
      </c>
      <c r="G550" s="10" t="str">
        <f ca="1">VLOOKUP(AR_table!$F550,aging_bucket[#All],2)</f>
        <v>1-30</v>
      </c>
    </row>
    <row r="551" spans="1:7" x14ac:dyDescent="0.3">
      <c r="A551" s="25" t="s">
        <v>541</v>
      </c>
      <c r="B551" s="13" t="s">
        <v>594</v>
      </c>
      <c r="C551" s="26">
        <v>45889</v>
      </c>
      <c r="D551" s="26">
        <f>WORKDAY(AR_table!$C551,$J$1)</f>
        <v>45931</v>
      </c>
      <c r="E551" s="27">
        <v>3416.11</v>
      </c>
      <c r="F551" s="10">
        <f ca="1">IF(AR_table!$D551&gt;=TODAY(),0,NETWORKDAYS(AR_table!$D551,TODAY()))</f>
        <v>96</v>
      </c>
      <c r="G551" s="13" t="str">
        <f ca="1">VLOOKUP(AR_table!$F551,aging_bucket[#All],2)</f>
        <v>&gt;90</v>
      </c>
    </row>
    <row r="552" spans="1:7" x14ac:dyDescent="0.3">
      <c r="A552" s="12" t="s">
        <v>542</v>
      </c>
      <c r="B552" s="10" t="s">
        <v>595</v>
      </c>
      <c r="C552" s="14">
        <v>46133</v>
      </c>
      <c r="D552" s="14">
        <f>WORKDAY(AR_table!$C552,$J$1)</f>
        <v>46175</v>
      </c>
      <c r="E552" s="15">
        <v>3101.41</v>
      </c>
      <c r="F552" s="10">
        <f ca="1">IF(AR_table!$D552&gt;=TODAY(),0,NETWORKDAYS(AR_table!$D552,TODAY()))</f>
        <v>0</v>
      </c>
      <c r="G552" s="10" t="str">
        <f ca="1">VLOOKUP(AR_table!$F552,aging_bucket[#All],2)</f>
        <v>Not due</v>
      </c>
    </row>
    <row r="553" spans="1:7" x14ac:dyDescent="0.3">
      <c r="A553" s="25" t="s">
        <v>543</v>
      </c>
      <c r="B553" s="13" t="s">
        <v>593</v>
      </c>
      <c r="C553" s="26">
        <v>46193</v>
      </c>
      <c r="D553" s="26">
        <f>WORKDAY(AR_table!$C553,$J$1)</f>
        <v>46234</v>
      </c>
      <c r="E553" s="27">
        <v>4340.3100000000004</v>
      </c>
      <c r="F553" s="10">
        <f ca="1">IF(AR_table!$D553&gt;=TODAY(),0,NETWORKDAYS(AR_table!$D553,TODAY()))</f>
        <v>0</v>
      </c>
      <c r="G553" s="13" t="str">
        <f ca="1">VLOOKUP(AR_table!$F553,aging_bucket[#All],2)</f>
        <v>Not due</v>
      </c>
    </row>
    <row r="554" spans="1:7" x14ac:dyDescent="0.3">
      <c r="A554" s="25" t="s">
        <v>544</v>
      </c>
      <c r="B554" s="13" t="s">
        <v>591</v>
      </c>
      <c r="C554" s="26">
        <v>46201</v>
      </c>
      <c r="D554" s="26">
        <f>WORKDAY(AR_table!$C554,$J$1)</f>
        <v>46241</v>
      </c>
      <c r="E554" s="27">
        <v>6109.5</v>
      </c>
      <c r="F554" s="10">
        <f ca="1">IF(AR_table!$D554&gt;=TODAY(),0,NETWORKDAYS(AR_table!$D554,TODAY()))</f>
        <v>0</v>
      </c>
      <c r="G554" s="13" t="str">
        <f ca="1">VLOOKUP(AR_table!$F554,aging_bucket[#All],2)</f>
        <v>Not due</v>
      </c>
    </row>
    <row r="555" spans="1:7" x14ac:dyDescent="0.3">
      <c r="A555" s="12" t="s">
        <v>545</v>
      </c>
      <c r="B555" s="10" t="s">
        <v>595</v>
      </c>
      <c r="C555" s="14">
        <v>46027</v>
      </c>
      <c r="D555" s="14">
        <f>WORKDAY(AR_table!$C555,$J$1)</f>
        <v>46069</v>
      </c>
      <c r="E555" s="15">
        <v>5463.95</v>
      </c>
      <c r="F555" s="10">
        <f ca="1">IF(AR_table!$D555&gt;=TODAY(),0,NETWORKDAYS(AR_table!$D555,TODAY()))</f>
        <v>0</v>
      </c>
      <c r="G555" s="10" t="str">
        <f ca="1">VLOOKUP(AR_table!$F555,aging_bucket[#All],2)</f>
        <v>Not due</v>
      </c>
    </row>
    <row r="556" spans="1:7" x14ac:dyDescent="0.3">
      <c r="A556" s="12" t="s">
        <v>546</v>
      </c>
      <c r="B556" s="10" t="s">
        <v>595</v>
      </c>
      <c r="C556" s="14">
        <v>45725</v>
      </c>
      <c r="D556" s="14">
        <f>WORKDAY(AR_table!$C556,$J$1)</f>
        <v>45765</v>
      </c>
      <c r="E556" s="15">
        <v>5529.68</v>
      </c>
      <c r="F556" s="10">
        <f ca="1">IF(AR_table!$D556&gt;=TODAY(),0,NETWORKDAYS(AR_table!$D556,TODAY()))</f>
        <v>214</v>
      </c>
      <c r="G556" s="10" t="str">
        <f ca="1">VLOOKUP(AR_table!$F556,aging_bucket[#All],2)</f>
        <v>&gt;90</v>
      </c>
    </row>
    <row r="557" spans="1:7" x14ac:dyDescent="0.3">
      <c r="A557" s="25" t="s">
        <v>547</v>
      </c>
      <c r="B557" s="13" t="s">
        <v>593</v>
      </c>
      <c r="C557" s="26">
        <v>45666</v>
      </c>
      <c r="D557" s="26">
        <f>WORKDAY(AR_table!$C557,$J$1)</f>
        <v>45708</v>
      </c>
      <c r="E557" s="27">
        <v>1546.25</v>
      </c>
      <c r="F557" s="10">
        <f ca="1">IF(AR_table!$D557&gt;=TODAY(),0,NETWORKDAYS(AR_table!$D557,TODAY()))</f>
        <v>255</v>
      </c>
      <c r="G557" s="13" t="str">
        <f ca="1">VLOOKUP(AR_table!$F557,aging_bucket[#All],2)</f>
        <v>&gt;90</v>
      </c>
    </row>
    <row r="558" spans="1:7" x14ac:dyDescent="0.3">
      <c r="A558" s="12" t="s">
        <v>548</v>
      </c>
      <c r="B558" s="10" t="s">
        <v>594</v>
      </c>
      <c r="C558" s="14">
        <v>46140</v>
      </c>
      <c r="D558" s="14">
        <f>WORKDAY(AR_table!$C558,$J$1)</f>
        <v>46182</v>
      </c>
      <c r="E558" s="15">
        <v>6604.35</v>
      </c>
      <c r="F558" s="10">
        <f ca="1">IF(AR_table!$D558&gt;=TODAY(),0,NETWORKDAYS(AR_table!$D558,TODAY()))</f>
        <v>0</v>
      </c>
      <c r="G558" s="10" t="str">
        <f ca="1">VLOOKUP(AR_table!$F558,aging_bucket[#All],2)</f>
        <v>Not due</v>
      </c>
    </row>
    <row r="559" spans="1:7" x14ac:dyDescent="0.3">
      <c r="A559" s="25" t="s">
        <v>549</v>
      </c>
      <c r="B559" s="13" t="s">
        <v>595</v>
      </c>
      <c r="C559" s="26">
        <v>45681</v>
      </c>
      <c r="D559" s="26">
        <f>WORKDAY(AR_table!$C559,$J$1)</f>
        <v>45723</v>
      </c>
      <c r="E559" s="27">
        <v>2420.27</v>
      </c>
      <c r="F559" s="10">
        <f ca="1">IF(AR_table!$D559&gt;=TODAY(),0,NETWORKDAYS(AR_table!$D559,TODAY()))</f>
        <v>244</v>
      </c>
      <c r="G559" s="13" t="str">
        <f ca="1">VLOOKUP(AR_table!$F559,aging_bucket[#All],2)</f>
        <v>&gt;90</v>
      </c>
    </row>
    <row r="560" spans="1:7" x14ac:dyDescent="0.3">
      <c r="A560" s="12" t="s">
        <v>550</v>
      </c>
      <c r="B560" s="10" t="s">
        <v>593</v>
      </c>
      <c r="C560" s="14">
        <v>45954</v>
      </c>
      <c r="D560" s="14">
        <f>WORKDAY(AR_table!$C560,$J$1)</f>
        <v>45996</v>
      </c>
      <c r="E560" s="15">
        <v>4890.76</v>
      </c>
      <c r="F560" s="10">
        <f ca="1">IF(AR_table!$D560&gt;=TODAY(),0,NETWORKDAYS(AR_table!$D560,TODAY()))</f>
        <v>49</v>
      </c>
      <c r="G560" s="10" t="str">
        <f ca="1">VLOOKUP(AR_table!$F560,aging_bucket[#All],2)</f>
        <v>31-60</v>
      </c>
    </row>
    <row r="561" spans="1:7" x14ac:dyDescent="0.3">
      <c r="A561" s="25" t="s">
        <v>551</v>
      </c>
      <c r="B561" s="13" t="s">
        <v>591</v>
      </c>
      <c r="C561" s="26">
        <v>45695</v>
      </c>
      <c r="D561" s="26">
        <f>WORKDAY(AR_table!$C561,$J$1)</f>
        <v>45737</v>
      </c>
      <c r="E561" s="27">
        <v>5733.98</v>
      </c>
      <c r="F561" s="10">
        <f ca="1">IF(AR_table!$D561&gt;=TODAY(),0,NETWORKDAYS(AR_table!$D561,TODAY()))</f>
        <v>234</v>
      </c>
      <c r="G561" s="13" t="str">
        <f ca="1">VLOOKUP(AR_table!$F561,aging_bucket[#All],2)</f>
        <v>&gt;90</v>
      </c>
    </row>
    <row r="562" spans="1:7" x14ac:dyDescent="0.3">
      <c r="A562" s="12" t="s">
        <v>552</v>
      </c>
      <c r="B562" s="10" t="s">
        <v>592</v>
      </c>
      <c r="C562" s="14">
        <v>46080</v>
      </c>
      <c r="D562" s="14">
        <f>WORKDAY(AR_table!$C562,$J$1)</f>
        <v>46122</v>
      </c>
      <c r="E562" s="15">
        <v>6136.41</v>
      </c>
      <c r="F562" s="10">
        <f ca="1">IF(AR_table!$D562&gt;=TODAY(),0,NETWORKDAYS(AR_table!$D562,TODAY()))</f>
        <v>0</v>
      </c>
      <c r="G562" s="10" t="str">
        <f ca="1">VLOOKUP(AR_table!$F562,aging_bucket[#All],2)</f>
        <v>Not due</v>
      </c>
    </row>
    <row r="563" spans="1:7" x14ac:dyDescent="0.3">
      <c r="A563" s="25" t="s">
        <v>553</v>
      </c>
      <c r="B563" s="13" t="s">
        <v>592</v>
      </c>
      <c r="C563" s="26">
        <v>45680</v>
      </c>
      <c r="D563" s="26">
        <f>WORKDAY(AR_table!$C563,$J$1)</f>
        <v>45722</v>
      </c>
      <c r="E563" s="27">
        <v>679.54</v>
      </c>
      <c r="F563" s="10">
        <f ca="1">IF(AR_table!$D563&gt;=TODAY(),0,NETWORKDAYS(AR_table!$D563,TODAY()))</f>
        <v>245</v>
      </c>
      <c r="G563" s="13" t="str">
        <f ca="1">VLOOKUP(AR_table!$F563,aging_bucket[#All],2)</f>
        <v>&gt;90</v>
      </c>
    </row>
    <row r="564" spans="1:7" x14ac:dyDescent="0.3">
      <c r="A564" s="12" t="s">
        <v>554</v>
      </c>
      <c r="B564" s="10" t="s">
        <v>593</v>
      </c>
      <c r="C564" s="14">
        <v>45697</v>
      </c>
      <c r="D564" s="14">
        <f>WORKDAY(AR_table!$C564,$J$1)</f>
        <v>45737</v>
      </c>
      <c r="E564" s="15">
        <v>6397.31</v>
      </c>
      <c r="F564" s="10">
        <f ca="1">IF(AR_table!$D564&gt;=TODAY(),0,NETWORKDAYS(AR_table!$D564,TODAY()))</f>
        <v>234</v>
      </c>
      <c r="G564" s="10" t="str">
        <f ca="1">VLOOKUP(AR_table!$F564,aging_bucket[#All],2)</f>
        <v>&gt;90</v>
      </c>
    </row>
    <row r="565" spans="1:7" x14ac:dyDescent="0.3">
      <c r="A565" s="25" t="s">
        <v>555</v>
      </c>
      <c r="B565" s="13" t="s">
        <v>592</v>
      </c>
      <c r="C565" s="26">
        <v>45953</v>
      </c>
      <c r="D565" s="26">
        <f>WORKDAY(AR_table!$C565,$J$1)</f>
        <v>45995</v>
      </c>
      <c r="E565" s="27">
        <v>4671.99</v>
      </c>
      <c r="F565" s="10">
        <f ca="1">IF(AR_table!$D565&gt;=TODAY(),0,NETWORKDAYS(AR_table!$D565,TODAY()))</f>
        <v>50</v>
      </c>
      <c r="G565" s="13" t="str">
        <f ca="1">VLOOKUP(AR_table!$F565,aging_bucket[#All],2)</f>
        <v>31-60</v>
      </c>
    </row>
    <row r="566" spans="1:7" x14ac:dyDescent="0.3">
      <c r="A566" s="12" t="s">
        <v>556</v>
      </c>
      <c r="B566" s="10" t="s">
        <v>591</v>
      </c>
      <c r="C566" s="14">
        <v>45671</v>
      </c>
      <c r="D566" s="14">
        <f>WORKDAY(AR_table!$C566,$J$1)</f>
        <v>45713</v>
      </c>
      <c r="E566" s="15">
        <v>4213.26</v>
      </c>
      <c r="F566" s="10">
        <f ca="1">IF(AR_table!$D566&gt;=TODAY(),0,NETWORKDAYS(AR_table!$D566,TODAY()))</f>
        <v>252</v>
      </c>
      <c r="G566" s="10" t="str">
        <f ca="1">VLOOKUP(AR_table!$F566,aging_bucket[#All],2)</f>
        <v>&gt;90</v>
      </c>
    </row>
    <row r="567" spans="1:7" x14ac:dyDescent="0.3">
      <c r="A567" s="25" t="s">
        <v>557</v>
      </c>
      <c r="B567" s="13" t="s">
        <v>595</v>
      </c>
      <c r="C567" s="26">
        <v>45778</v>
      </c>
      <c r="D567" s="26">
        <f>WORKDAY(AR_table!$C567,$J$1)</f>
        <v>45820</v>
      </c>
      <c r="E567" s="27">
        <v>7245.84</v>
      </c>
      <c r="F567" s="10">
        <f ca="1">IF(AR_table!$D567&gt;=TODAY(),0,NETWORKDAYS(AR_table!$D567,TODAY()))</f>
        <v>175</v>
      </c>
      <c r="G567" s="13" t="str">
        <f ca="1">VLOOKUP(AR_table!$F567,aging_bucket[#All],2)</f>
        <v>&gt;90</v>
      </c>
    </row>
    <row r="568" spans="1:7" x14ac:dyDescent="0.3">
      <c r="A568" s="12" t="s">
        <v>558</v>
      </c>
      <c r="B568" s="10" t="s">
        <v>591</v>
      </c>
      <c r="C568" s="14">
        <v>45886</v>
      </c>
      <c r="D568" s="14">
        <f>WORKDAY(AR_table!$C568,$J$1)</f>
        <v>45926</v>
      </c>
      <c r="E568" s="15">
        <v>3490.61</v>
      </c>
      <c r="F568" s="10">
        <f ca="1">IF(AR_table!$D568&gt;=TODAY(),0,NETWORKDAYS(AR_table!$D568,TODAY()))</f>
        <v>99</v>
      </c>
      <c r="G568" s="10" t="str">
        <f ca="1">VLOOKUP(AR_table!$F568,aging_bucket[#All],2)</f>
        <v>&gt;90</v>
      </c>
    </row>
    <row r="569" spans="1:7" x14ac:dyDescent="0.3">
      <c r="A569" s="25" t="s">
        <v>559</v>
      </c>
      <c r="B569" s="13" t="s">
        <v>593</v>
      </c>
      <c r="C569" s="26">
        <v>45987</v>
      </c>
      <c r="D569" s="26">
        <f>WORKDAY(AR_table!$C569,$J$1)</f>
        <v>46029</v>
      </c>
      <c r="E569" s="27">
        <v>4514.91</v>
      </c>
      <c r="F569" s="10">
        <f ca="1">IF(AR_table!$D569&gt;=TODAY(),0,NETWORKDAYS(AR_table!$D569,TODAY()))</f>
        <v>26</v>
      </c>
      <c r="G569" s="13" t="str">
        <f ca="1">VLOOKUP(AR_table!$F569,aging_bucket[#All],2)</f>
        <v>1-30</v>
      </c>
    </row>
    <row r="570" spans="1:7" x14ac:dyDescent="0.3">
      <c r="A570" s="25" t="s">
        <v>560</v>
      </c>
      <c r="B570" s="13" t="s">
        <v>591</v>
      </c>
      <c r="C570" s="26">
        <v>45666</v>
      </c>
      <c r="D570" s="26">
        <f>WORKDAY(AR_table!$C570,$J$1)</f>
        <v>45708</v>
      </c>
      <c r="E570" s="27">
        <v>860.68</v>
      </c>
      <c r="F570" s="10">
        <f ca="1">IF(AR_table!$D570&gt;=TODAY(),0,NETWORKDAYS(AR_table!$D570,TODAY()))</f>
        <v>255</v>
      </c>
      <c r="G570" s="13" t="str">
        <f ca="1">VLOOKUP(AR_table!$F570,aging_bucket[#All],2)</f>
        <v>&gt;90</v>
      </c>
    </row>
    <row r="571" spans="1:7" x14ac:dyDescent="0.3">
      <c r="A571" s="12" t="s">
        <v>561</v>
      </c>
      <c r="B571" s="10" t="s">
        <v>595</v>
      </c>
      <c r="C571" s="14">
        <v>46159</v>
      </c>
      <c r="D571" s="14">
        <f>WORKDAY(AR_table!$C571,$J$1)</f>
        <v>46199</v>
      </c>
      <c r="E571" s="15">
        <v>3179.28</v>
      </c>
      <c r="F571" s="10">
        <f ca="1">IF(AR_table!$D571&gt;=TODAY(),0,NETWORKDAYS(AR_table!$D571,TODAY()))</f>
        <v>0</v>
      </c>
      <c r="G571" s="10" t="str">
        <f ca="1">VLOOKUP(AR_table!$F571,aging_bucket[#All],2)</f>
        <v>Not due</v>
      </c>
    </row>
    <row r="572" spans="1:7" x14ac:dyDescent="0.3">
      <c r="A572" s="12" t="s">
        <v>562</v>
      </c>
      <c r="B572" s="10" t="s">
        <v>594</v>
      </c>
      <c r="C572" s="14">
        <v>45989</v>
      </c>
      <c r="D572" s="14">
        <f>WORKDAY(AR_table!$C572,$J$1)</f>
        <v>46031</v>
      </c>
      <c r="E572" s="15">
        <v>267.24</v>
      </c>
      <c r="F572" s="10">
        <f ca="1">IF(AR_table!$D572&gt;=TODAY(),0,NETWORKDAYS(AR_table!$D572,TODAY()))</f>
        <v>24</v>
      </c>
      <c r="G572" s="10" t="str">
        <f ca="1">VLOOKUP(AR_table!$F572,aging_bucket[#All],2)</f>
        <v>1-30</v>
      </c>
    </row>
    <row r="573" spans="1:7" x14ac:dyDescent="0.3">
      <c r="A573" s="12" t="s">
        <v>563</v>
      </c>
      <c r="B573" s="10" t="s">
        <v>595</v>
      </c>
      <c r="C573" s="14">
        <v>45899</v>
      </c>
      <c r="D573" s="14">
        <f>WORKDAY(AR_table!$C573,$J$1)</f>
        <v>45940</v>
      </c>
      <c r="E573" s="15">
        <v>5155.55</v>
      </c>
      <c r="F573" s="10">
        <f ca="1">IF(AR_table!$D573&gt;=TODAY(),0,NETWORKDAYS(AR_table!$D573,TODAY()))</f>
        <v>89</v>
      </c>
      <c r="G573" s="10" t="str">
        <f ca="1">VLOOKUP(AR_table!$F573,aging_bucket[#All],2)</f>
        <v>61-90</v>
      </c>
    </row>
    <row r="574" spans="1:7" x14ac:dyDescent="0.3">
      <c r="A574" s="25" t="s">
        <v>564</v>
      </c>
      <c r="B574" s="13" t="s">
        <v>593</v>
      </c>
      <c r="C574" s="26">
        <v>45975</v>
      </c>
      <c r="D574" s="26">
        <f>WORKDAY(AR_table!$C574,$J$1)</f>
        <v>46017</v>
      </c>
      <c r="E574" s="27">
        <v>5605.91</v>
      </c>
      <c r="F574" s="10">
        <f ca="1">IF(AR_table!$D574&gt;=TODAY(),0,NETWORKDAYS(AR_table!$D574,TODAY()))</f>
        <v>34</v>
      </c>
      <c r="G574" s="13" t="str">
        <f ca="1">VLOOKUP(AR_table!$F574,aging_bucket[#All],2)</f>
        <v>31-60</v>
      </c>
    </row>
    <row r="575" spans="1:7" x14ac:dyDescent="0.3">
      <c r="A575" s="12" t="s">
        <v>565</v>
      </c>
      <c r="B575" s="10" t="s">
        <v>591</v>
      </c>
      <c r="C575" s="14">
        <v>46059</v>
      </c>
      <c r="D575" s="14">
        <f>WORKDAY(AR_table!$C575,$J$1)</f>
        <v>46101</v>
      </c>
      <c r="E575" s="15">
        <v>6041.09</v>
      </c>
      <c r="F575" s="10">
        <f ca="1">IF(AR_table!$D575&gt;=TODAY(),0,NETWORKDAYS(AR_table!$D575,TODAY()))</f>
        <v>0</v>
      </c>
      <c r="G575" s="10" t="str">
        <f ca="1">VLOOKUP(AR_table!$F575,aging_bucket[#All],2)</f>
        <v>Not due</v>
      </c>
    </row>
    <row r="576" spans="1:7" x14ac:dyDescent="0.3">
      <c r="A576" s="25" t="s">
        <v>566</v>
      </c>
      <c r="B576" s="13" t="s">
        <v>593</v>
      </c>
      <c r="C576" s="26">
        <v>45683</v>
      </c>
      <c r="D576" s="26">
        <f>WORKDAY(AR_table!$C576,$J$1)</f>
        <v>45723</v>
      </c>
      <c r="E576" s="27">
        <v>4640.58</v>
      </c>
      <c r="F576" s="10">
        <f ca="1">IF(AR_table!$D576&gt;=TODAY(),0,NETWORKDAYS(AR_table!$D576,TODAY()))</f>
        <v>244</v>
      </c>
      <c r="G576" s="13" t="str">
        <f ca="1">VLOOKUP(AR_table!$F576,aging_bucket[#All],2)</f>
        <v>&gt;90</v>
      </c>
    </row>
    <row r="577" spans="1:7" x14ac:dyDescent="0.3">
      <c r="A577" s="12" t="s">
        <v>567</v>
      </c>
      <c r="B577" s="10" t="s">
        <v>595</v>
      </c>
      <c r="C577" s="14">
        <v>45703</v>
      </c>
      <c r="D577" s="14">
        <f>WORKDAY(AR_table!$C577,$J$1)</f>
        <v>45744</v>
      </c>
      <c r="E577" s="15">
        <v>733.3</v>
      </c>
      <c r="F577" s="10">
        <f ca="1">IF(AR_table!$D577&gt;=TODAY(),0,NETWORKDAYS(AR_table!$D577,TODAY()))</f>
        <v>229</v>
      </c>
      <c r="G577" s="10" t="str">
        <f ca="1">VLOOKUP(AR_table!$F577,aging_bucket[#All],2)</f>
        <v>&gt;90</v>
      </c>
    </row>
    <row r="578" spans="1:7" x14ac:dyDescent="0.3">
      <c r="A578" s="25" t="s">
        <v>568</v>
      </c>
      <c r="B578" s="13" t="s">
        <v>593</v>
      </c>
      <c r="C578" s="26">
        <v>45855</v>
      </c>
      <c r="D578" s="26">
        <f>WORKDAY(AR_table!$C578,$J$1)</f>
        <v>45897</v>
      </c>
      <c r="E578" s="27">
        <v>3219.89</v>
      </c>
      <c r="F578" s="10">
        <f ca="1">IF(AR_table!$D578&gt;=TODAY(),0,NETWORKDAYS(AR_table!$D578,TODAY()))</f>
        <v>120</v>
      </c>
      <c r="G578" s="13" t="str">
        <f ca="1">VLOOKUP(AR_table!$F578,aging_bucket[#All],2)</f>
        <v>&gt;90</v>
      </c>
    </row>
    <row r="579" spans="1:7" x14ac:dyDescent="0.3">
      <c r="A579" s="12" t="s">
        <v>569</v>
      </c>
      <c r="B579" s="10" t="s">
        <v>595</v>
      </c>
      <c r="C579" s="14">
        <v>45899</v>
      </c>
      <c r="D579" s="14">
        <f>WORKDAY(AR_table!$C579,$J$1)</f>
        <v>45940</v>
      </c>
      <c r="E579" s="15">
        <v>2856.82</v>
      </c>
      <c r="F579" s="10">
        <f ca="1">IF(AR_table!$D579&gt;=TODAY(),0,NETWORKDAYS(AR_table!$D579,TODAY()))</f>
        <v>89</v>
      </c>
      <c r="G579" s="10" t="str">
        <f ca="1">VLOOKUP(AR_table!$F579,aging_bucket[#All],2)</f>
        <v>61-90</v>
      </c>
    </row>
    <row r="580" spans="1:7" x14ac:dyDescent="0.3">
      <c r="A580" s="25" t="s">
        <v>570</v>
      </c>
      <c r="B580" s="13" t="s">
        <v>592</v>
      </c>
      <c r="C580" s="26">
        <v>45929</v>
      </c>
      <c r="D580" s="26">
        <f>WORKDAY(AR_table!$C580,$J$1)</f>
        <v>45971</v>
      </c>
      <c r="E580" s="27">
        <v>4095.19</v>
      </c>
      <c r="F580" s="10">
        <f ca="1">IF(AR_table!$D580&gt;=TODAY(),0,NETWORKDAYS(AR_table!$D580,TODAY()))</f>
        <v>68</v>
      </c>
      <c r="G580" s="13" t="str">
        <f ca="1">VLOOKUP(AR_table!$F580,aging_bucket[#All],2)</f>
        <v>61-90</v>
      </c>
    </row>
    <row r="581" spans="1:7" x14ac:dyDescent="0.3">
      <c r="A581" s="12" t="s">
        <v>571</v>
      </c>
      <c r="B581" s="10" t="s">
        <v>595</v>
      </c>
      <c r="C581" s="14">
        <v>45955</v>
      </c>
      <c r="D581" s="14">
        <f>WORKDAY(AR_table!$C581,$J$1)</f>
        <v>45996</v>
      </c>
      <c r="E581" s="15">
        <v>7507.98</v>
      </c>
      <c r="F581" s="10">
        <f ca="1">IF(AR_table!$D581&gt;=TODAY(),0,NETWORKDAYS(AR_table!$D581,TODAY()))</f>
        <v>49</v>
      </c>
      <c r="G581" s="10" t="str">
        <f ca="1">VLOOKUP(AR_table!$F581,aging_bucket[#All],2)</f>
        <v>31-60</v>
      </c>
    </row>
    <row r="582" spans="1:7" x14ac:dyDescent="0.3">
      <c r="A582" s="25" t="s">
        <v>572</v>
      </c>
      <c r="B582" s="13" t="s">
        <v>594</v>
      </c>
      <c r="C582" s="26">
        <v>46071</v>
      </c>
      <c r="D582" s="26">
        <f>WORKDAY(AR_table!$C582,$J$1)</f>
        <v>46113</v>
      </c>
      <c r="E582" s="27">
        <v>2271.23</v>
      </c>
      <c r="F582" s="10">
        <f ca="1">IF(AR_table!$D582&gt;=TODAY(),0,NETWORKDAYS(AR_table!$D582,TODAY()))</f>
        <v>0</v>
      </c>
      <c r="G582" s="13" t="str">
        <f ca="1">VLOOKUP(AR_table!$F582,aging_bucket[#All],2)</f>
        <v>Not due</v>
      </c>
    </row>
    <row r="583" spans="1:7" x14ac:dyDescent="0.3">
      <c r="A583" s="12" t="s">
        <v>573</v>
      </c>
      <c r="B583" s="10" t="s">
        <v>594</v>
      </c>
      <c r="C583" s="14">
        <v>45808</v>
      </c>
      <c r="D583" s="14">
        <f>WORKDAY(AR_table!$C583,$J$1)</f>
        <v>45849</v>
      </c>
      <c r="E583" s="15">
        <v>4290.32</v>
      </c>
      <c r="F583" s="10">
        <f ca="1">IF(AR_table!$D583&gt;=TODAY(),0,NETWORKDAYS(AR_table!$D583,TODAY()))</f>
        <v>154</v>
      </c>
      <c r="G583" s="10" t="str">
        <f ca="1">VLOOKUP(AR_table!$F583,aging_bucket[#All],2)</f>
        <v>&gt;90</v>
      </c>
    </row>
    <row r="584" spans="1:7" x14ac:dyDescent="0.3">
      <c r="A584" s="25" t="s">
        <v>574</v>
      </c>
      <c r="B584" s="13" t="s">
        <v>594</v>
      </c>
      <c r="C584" s="26">
        <v>45897</v>
      </c>
      <c r="D584" s="26">
        <f>WORKDAY(AR_table!$C584,$J$1)</f>
        <v>45939</v>
      </c>
      <c r="E584" s="27">
        <v>3562.01</v>
      </c>
      <c r="F584" s="10">
        <f ca="1">IF(AR_table!$D584&gt;=TODAY(),0,NETWORKDAYS(AR_table!$D584,TODAY()))</f>
        <v>90</v>
      </c>
      <c r="G584" s="13" t="str">
        <f ca="1">VLOOKUP(AR_table!$F584,aging_bucket[#All],2)</f>
        <v>61-90</v>
      </c>
    </row>
    <row r="585" spans="1:7" x14ac:dyDescent="0.3">
      <c r="A585" s="12" t="s">
        <v>575</v>
      </c>
      <c r="B585" s="10" t="s">
        <v>593</v>
      </c>
      <c r="C585" s="14">
        <v>45778</v>
      </c>
      <c r="D585" s="14">
        <f>WORKDAY(AR_table!$C585,$J$1)</f>
        <v>45820</v>
      </c>
      <c r="E585" s="15">
        <v>2117.4699999999998</v>
      </c>
      <c r="F585" s="10">
        <f ca="1">IF(AR_table!$D585&gt;=TODAY(),0,NETWORKDAYS(AR_table!$D585,TODAY()))</f>
        <v>175</v>
      </c>
      <c r="G585" s="10" t="str">
        <f ca="1">VLOOKUP(AR_table!$F585,aging_bucket[#All],2)</f>
        <v>&gt;90</v>
      </c>
    </row>
    <row r="586" spans="1:7" x14ac:dyDescent="0.3">
      <c r="A586" s="12" t="s">
        <v>576</v>
      </c>
      <c r="B586" s="10" t="s">
        <v>591</v>
      </c>
      <c r="C586" s="14">
        <v>45995</v>
      </c>
      <c r="D586" s="14">
        <f>WORKDAY(AR_table!$C586,$J$1)</f>
        <v>46037</v>
      </c>
      <c r="E586" s="15">
        <v>3933.4</v>
      </c>
      <c r="F586" s="10">
        <f ca="1">IF(AR_table!$D586&gt;=TODAY(),0,NETWORKDAYS(AR_table!$D586,TODAY()))</f>
        <v>20</v>
      </c>
      <c r="G586" s="10" t="str">
        <f ca="1">VLOOKUP(AR_table!$F586,aging_bucket[#All],2)</f>
        <v>1-30</v>
      </c>
    </row>
    <row r="587" spans="1:7" x14ac:dyDescent="0.3">
      <c r="A587" s="12" t="s">
        <v>577</v>
      </c>
      <c r="B587" s="10" t="s">
        <v>592</v>
      </c>
      <c r="C587" s="14">
        <v>45984</v>
      </c>
      <c r="D587" s="14">
        <f>WORKDAY(AR_table!$C587,$J$1)</f>
        <v>46024</v>
      </c>
      <c r="E587" s="15">
        <v>3365.08</v>
      </c>
      <c r="F587" s="10">
        <f ca="1">IF(AR_table!$D587&gt;=TODAY(),0,NETWORKDAYS(AR_table!$D587,TODAY()))</f>
        <v>29</v>
      </c>
      <c r="G587" s="10" t="str">
        <f ca="1">VLOOKUP(AR_table!$F587,aging_bucket[#All],2)</f>
        <v>1-30</v>
      </c>
    </row>
    <row r="588" spans="1:7" x14ac:dyDescent="0.3">
      <c r="A588" s="25" t="s">
        <v>578</v>
      </c>
      <c r="B588" s="13" t="s">
        <v>595</v>
      </c>
      <c r="C588" s="26">
        <v>45902</v>
      </c>
      <c r="D588" s="26">
        <f>WORKDAY(AR_table!$C588,$J$1)</f>
        <v>45944</v>
      </c>
      <c r="E588" s="27">
        <v>7336.13</v>
      </c>
      <c r="F588" s="10">
        <f ca="1">IF(AR_table!$D588&gt;=TODAY(),0,NETWORKDAYS(AR_table!$D588,TODAY()))</f>
        <v>87</v>
      </c>
      <c r="G588" s="13" t="str">
        <f ca="1">VLOOKUP(AR_table!$F588,aging_bucket[#All],2)</f>
        <v>61-90</v>
      </c>
    </row>
    <row r="589" spans="1:7" x14ac:dyDescent="0.3">
      <c r="A589" s="12" t="s">
        <v>579</v>
      </c>
      <c r="B589" s="10" t="s">
        <v>592</v>
      </c>
      <c r="C589" s="14">
        <v>45739</v>
      </c>
      <c r="D589" s="14">
        <f>WORKDAY(AR_table!$C589,$J$1)</f>
        <v>45779</v>
      </c>
      <c r="E589" s="15">
        <v>5117.88</v>
      </c>
      <c r="F589" s="10">
        <f ca="1">IF(AR_table!$D589&gt;=TODAY(),0,NETWORKDAYS(AR_table!$D589,TODAY()))</f>
        <v>204</v>
      </c>
      <c r="G589" s="10" t="str">
        <f ca="1">VLOOKUP(AR_table!$F589,aging_bucket[#All],2)</f>
        <v>&gt;90</v>
      </c>
    </row>
    <row r="590" spans="1:7" x14ac:dyDescent="0.3">
      <c r="A590" s="25" t="s">
        <v>580</v>
      </c>
      <c r="B590" s="13" t="s">
        <v>594</v>
      </c>
      <c r="C590" s="26">
        <v>45688</v>
      </c>
      <c r="D590" s="26">
        <f>WORKDAY(AR_table!$C590,$J$1)</f>
        <v>45730</v>
      </c>
      <c r="E590" s="27">
        <v>6307.06</v>
      </c>
      <c r="F590" s="10">
        <f ca="1">IF(AR_table!$D590&gt;=TODAY(),0,NETWORKDAYS(AR_table!$D590,TODAY()))</f>
        <v>239</v>
      </c>
      <c r="G590" s="13" t="str">
        <f ca="1">VLOOKUP(AR_table!$F590,aging_bucket[#All],2)</f>
        <v>&gt;90</v>
      </c>
    </row>
    <row r="591" spans="1:7" x14ac:dyDescent="0.3">
      <c r="A591" s="12" t="s">
        <v>581</v>
      </c>
      <c r="B591" s="10" t="s">
        <v>592</v>
      </c>
      <c r="C591" s="14">
        <v>45660</v>
      </c>
      <c r="D591" s="14">
        <f>WORKDAY(AR_table!$C591,$J$1)</f>
        <v>45702</v>
      </c>
      <c r="E591" s="15">
        <v>7493.25</v>
      </c>
      <c r="F591" s="10">
        <f ca="1">IF(AR_table!$D591&gt;=TODAY(),0,NETWORKDAYS(AR_table!$D591,TODAY()))</f>
        <v>259</v>
      </c>
      <c r="G591" s="10" t="str">
        <f ca="1">VLOOKUP(AR_table!$F591,aging_bucket[#All],2)</f>
        <v>&gt;90</v>
      </c>
    </row>
    <row r="592" spans="1:7" x14ac:dyDescent="0.3">
      <c r="A592" s="25" t="s">
        <v>582</v>
      </c>
      <c r="B592" s="13" t="s">
        <v>594</v>
      </c>
      <c r="C592" s="26">
        <v>46178</v>
      </c>
      <c r="D592" s="26">
        <f>WORKDAY(AR_table!$C592,$J$1)</f>
        <v>46220</v>
      </c>
      <c r="E592" s="27">
        <v>1666.55</v>
      </c>
      <c r="F592" s="10">
        <f ca="1">IF(AR_table!$D592&gt;=TODAY(),0,NETWORKDAYS(AR_table!$D592,TODAY()))</f>
        <v>0</v>
      </c>
      <c r="G592" s="13" t="str">
        <f ca="1">VLOOKUP(AR_table!$F592,aging_bucket[#All],2)</f>
        <v>Not due</v>
      </c>
    </row>
    <row r="593" spans="1:7" x14ac:dyDescent="0.3">
      <c r="A593" s="12" t="s">
        <v>583</v>
      </c>
      <c r="B593" s="10" t="s">
        <v>595</v>
      </c>
      <c r="C593" s="14">
        <v>45758</v>
      </c>
      <c r="D593" s="14">
        <f>WORKDAY(AR_table!$C593,$J$1)</f>
        <v>45800</v>
      </c>
      <c r="E593" s="15">
        <v>7661.86</v>
      </c>
      <c r="F593" s="10">
        <f ca="1">IF(AR_table!$D593&gt;=TODAY(),0,NETWORKDAYS(AR_table!$D593,TODAY()))</f>
        <v>189</v>
      </c>
      <c r="G593" s="10" t="str">
        <f ca="1">VLOOKUP(AR_table!$F593,aging_bucket[#All],2)</f>
        <v>&gt;90</v>
      </c>
    </row>
    <row r="594" spans="1:7" x14ac:dyDescent="0.3">
      <c r="A594" s="25" t="s">
        <v>584</v>
      </c>
      <c r="B594" s="13" t="s">
        <v>594</v>
      </c>
      <c r="C594" s="26">
        <v>45719</v>
      </c>
      <c r="D594" s="26">
        <f>WORKDAY(AR_table!$C594,$J$1)</f>
        <v>45761</v>
      </c>
      <c r="E594" s="27">
        <v>7168.62</v>
      </c>
      <c r="F594" s="10">
        <f ca="1">IF(AR_table!$D594&gt;=TODAY(),0,NETWORKDAYS(AR_table!$D594,TODAY()))</f>
        <v>218</v>
      </c>
      <c r="G594" s="13" t="str">
        <f ca="1">VLOOKUP(AR_table!$F594,aging_bucket[#All],2)</f>
        <v>&gt;90</v>
      </c>
    </row>
    <row r="595" spans="1:7" x14ac:dyDescent="0.3">
      <c r="A595" s="25" t="s">
        <v>585</v>
      </c>
      <c r="B595" s="13" t="s">
        <v>592</v>
      </c>
      <c r="C595" s="26">
        <v>45684</v>
      </c>
      <c r="D595" s="26">
        <f>WORKDAY(AR_table!$C595,$J$1)</f>
        <v>45726</v>
      </c>
      <c r="E595" s="27">
        <v>4387.1099999999997</v>
      </c>
      <c r="F595" s="10">
        <f ca="1">IF(AR_table!$D595&gt;=TODAY(),0,NETWORKDAYS(AR_table!$D595,TODAY()))</f>
        <v>243</v>
      </c>
      <c r="G595" s="13" t="str">
        <f ca="1">VLOOKUP(AR_table!$F595,aging_bucket[#All],2)</f>
        <v>&gt;90</v>
      </c>
    </row>
    <row r="596" spans="1:7" x14ac:dyDescent="0.3">
      <c r="A596" s="12" t="s">
        <v>586</v>
      </c>
      <c r="B596" s="10" t="s">
        <v>593</v>
      </c>
      <c r="C596" s="14">
        <v>45716</v>
      </c>
      <c r="D596" s="14">
        <f>WORKDAY(AR_table!$C596,$J$1)</f>
        <v>45758</v>
      </c>
      <c r="E596" s="15">
        <v>5828.29</v>
      </c>
      <c r="F596" s="10">
        <f ca="1">IF(AR_table!$D596&gt;=TODAY(),0,NETWORKDAYS(AR_table!$D596,TODAY()))</f>
        <v>219</v>
      </c>
      <c r="G596" s="10" t="str">
        <f ca="1">VLOOKUP(AR_table!$F596,aging_bucket[#All],2)</f>
        <v>&gt;90</v>
      </c>
    </row>
    <row r="597" spans="1:7" x14ac:dyDescent="0.3">
      <c r="A597" s="12" t="s">
        <v>587</v>
      </c>
      <c r="B597" s="10" t="s">
        <v>593</v>
      </c>
      <c r="C597" s="14">
        <v>45795</v>
      </c>
      <c r="D597" s="14">
        <f>WORKDAY(AR_table!$C597,$J$1)</f>
        <v>45835</v>
      </c>
      <c r="E597" s="15">
        <v>1980.71</v>
      </c>
      <c r="F597" s="10">
        <f ca="1">IF(AR_table!$D597&gt;=TODAY(),0,NETWORKDAYS(AR_table!$D597,TODAY()))</f>
        <v>164</v>
      </c>
      <c r="G597" s="10" t="str">
        <f ca="1">VLOOKUP(AR_table!$F597,aging_bucket[#All],2)</f>
        <v>&gt;90</v>
      </c>
    </row>
    <row r="598" spans="1:7" x14ac:dyDescent="0.3">
      <c r="A598" s="25" t="s">
        <v>588</v>
      </c>
      <c r="B598" s="13" t="s">
        <v>593</v>
      </c>
      <c r="C598" s="26">
        <v>46161</v>
      </c>
      <c r="D598" s="26">
        <f>WORKDAY(AR_table!$C598,$J$1)</f>
        <v>46203</v>
      </c>
      <c r="E598" s="27">
        <v>4129.08</v>
      </c>
      <c r="F598" s="10">
        <f ca="1">IF(AR_table!$D598&gt;=TODAY(),0,NETWORKDAYS(AR_table!$D598,TODAY()))</f>
        <v>0</v>
      </c>
      <c r="G598" s="13" t="str">
        <f ca="1">VLOOKUP(AR_table!$F598,aging_bucket[#All],2)</f>
        <v>Not due</v>
      </c>
    </row>
    <row r="599" spans="1:7" x14ac:dyDescent="0.3">
      <c r="A599" s="25" t="s">
        <v>589</v>
      </c>
      <c r="B599" s="13" t="s">
        <v>592</v>
      </c>
      <c r="C599" s="26">
        <v>46044</v>
      </c>
      <c r="D599" s="26">
        <f>WORKDAY(AR_table!$C599,$J$1)</f>
        <v>46086</v>
      </c>
      <c r="E599" s="27">
        <v>2056.42</v>
      </c>
      <c r="F599" s="10">
        <f ca="1">IF(AR_table!$D599&gt;=TODAY(),0,NETWORKDAYS(AR_table!$D599,TODAY()))</f>
        <v>0</v>
      </c>
      <c r="G599" s="13" t="str">
        <f ca="1">VLOOKUP(AR_table!$F599,aging_bucket[#All],2)</f>
        <v>Not due</v>
      </c>
    </row>
    <row r="600" spans="1:7" x14ac:dyDescent="0.3">
      <c r="A600" s="12" t="s">
        <v>590</v>
      </c>
      <c r="B600" s="10" t="s">
        <v>594</v>
      </c>
      <c r="C600" s="14">
        <v>46008</v>
      </c>
      <c r="D600" s="14">
        <f>WORKDAY(AR_table!$C600,$J$1)</f>
        <v>46050</v>
      </c>
      <c r="E600" s="15">
        <v>3136.3</v>
      </c>
      <c r="F600" s="10">
        <f ca="1">IF(AR_table!$D600&gt;=TODAY(),0,NETWORKDAYS(AR_table!$D600,TODAY()))</f>
        <v>11</v>
      </c>
      <c r="G600" s="10" t="str">
        <f ca="1">VLOOKUP(AR_table!$F600,aging_bucket[#All],2)</f>
        <v>1-30</v>
      </c>
    </row>
    <row r="601" spans="1:7" x14ac:dyDescent="0.3">
      <c r="A601" s="11"/>
      <c r="B601" s="30"/>
      <c r="C601" s="31"/>
      <c r="D601" s="31"/>
      <c r="E601" s="32"/>
      <c r="F601" s="33"/>
      <c r="G601" s="30"/>
    </row>
    <row r="602" spans="1:7" x14ac:dyDescent="0.3">
      <c r="A602" s="12"/>
      <c r="B602" s="10"/>
      <c r="C602" s="14"/>
      <c r="D602" s="14"/>
      <c r="E602" s="15"/>
      <c r="F602" s="16"/>
      <c r="G602" s="10"/>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305D92-D747-4B22-9385-DE0FB2CDCC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aging_distribution</vt:lpstr>
      <vt:lpstr>AR_aging</vt:lpstr>
      <vt:lpstr>monthly</vt:lpstr>
      <vt:lpstr>AR_table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Asri</dc:creator>
  <cp:lastModifiedBy>ajeng sabrina</cp:lastModifiedBy>
  <dcterms:created xsi:type="dcterms:W3CDTF">2025-06-28T04:56:09Z</dcterms:created>
  <dcterms:modified xsi:type="dcterms:W3CDTF">2026-02-11T16:52:34Z</dcterms:modified>
</cp:coreProperties>
</file>
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fanii\Documents\Ajeng\excel-projects\"/>
    </mc:Choice>
  </mc:AlternateContent>
  <xr:revisionPtr revIDLastSave="0" documentId="13_ncr:10000001_{1897B845-4012-42D5-8C69-1D20E24628D3}" xr6:coauthVersionLast="47" xr6:coauthVersionMax="47" xr10:uidLastSave="{00000000-0000-0000-0000-000000000000}"/>
  <bookViews>
    <workbookView xWindow="-108" yWindow="-108" windowWidth="23256" windowHeight="12456" activeTab="1" xr2:uid="{00000000-000D-0000-FFFF-FFFF00000000}"/>
  </bookViews>
  <sheets>
    <sheet name="aged_AR_chart" sheetId="2" r:id="rId1"/>
    <sheet name="AR_age_category" sheetId="1" r:id="rId2"/>
  </sheets>
  <definedNames>
    <definedName name="_xlnm._FilterDatabase" localSheetId="1" hidden="1">AR_age_category!$A$1:$J$600</definedName>
    <definedName name="Slicer_customer">#N/A</definedName>
  </definedNames>
  <calcPr calcId="191029"/>
  <pivotCaches>
    <pivotCache cacheId="25"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G304" i="1" l="1"/>
  <c r="G528" i="1"/>
  <c r="G544" i="1"/>
  <c r="G72" i="1"/>
  <c r="G336" i="1"/>
  <c r="G560" i="1"/>
  <c r="G576" i="1"/>
  <c r="G96" i="1"/>
  <c r="G112" i="1"/>
  <c r="G136" i="1"/>
  <c r="G160" i="1"/>
  <c r="G176" i="1"/>
  <c r="G208" i="1"/>
  <c r="G248" i="1"/>
  <c r="G280" i="1"/>
  <c r="G376" i="1"/>
  <c r="G408" i="1"/>
  <c r="G432" i="1"/>
  <c r="G464" i="1"/>
  <c r="G504" i="1"/>
  <c r="G512" i="1"/>
  <c r="G600" i="1"/>
  <c r="G16" i="1"/>
  <c r="G17" i="1"/>
  <c r="G24" i="1"/>
  <c r="G32" i="1"/>
  <c r="G40" i="1"/>
  <c r="G41" i="1"/>
  <c r="G56" i="1"/>
  <c r="G57" i="1"/>
  <c r="G64" i="1"/>
  <c r="G65" i="1"/>
  <c r="G80" i="1"/>
  <c r="G81" i="1"/>
  <c r="G88" i="1"/>
  <c r="G104" i="1"/>
  <c r="G105" i="1"/>
  <c r="G120" i="1"/>
  <c r="G121" i="1"/>
  <c r="G128" i="1"/>
  <c r="G129" i="1"/>
  <c r="G144" i="1"/>
  <c r="G145" i="1"/>
  <c r="G152" i="1"/>
  <c r="G168" i="1"/>
  <c r="G169" i="1"/>
  <c r="G184" i="1"/>
  <c r="G192" i="1"/>
  <c r="G193" i="1"/>
  <c r="G200" i="1"/>
  <c r="G201" i="1"/>
  <c r="G216" i="1"/>
  <c r="G224" i="1"/>
  <c r="G225" i="1"/>
  <c r="G232" i="1"/>
  <c r="G233" i="1"/>
  <c r="G240" i="1"/>
  <c r="G256" i="1"/>
  <c r="G257" i="1"/>
  <c r="G264" i="1"/>
  <c r="G272" i="1"/>
  <c r="G288" i="1"/>
  <c r="G289" i="1"/>
  <c r="G296" i="1"/>
  <c r="G297" i="1"/>
  <c r="G312" i="1"/>
  <c r="G320" i="1"/>
  <c r="G321" i="1"/>
  <c r="G328" i="1"/>
  <c r="G329" i="1"/>
  <c r="G344" i="1"/>
  <c r="G352" i="1"/>
  <c r="G353" i="1"/>
  <c r="G360" i="1"/>
  <c r="G361" i="1"/>
  <c r="G368" i="1"/>
  <c r="G384" i="1"/>
  <c r="G385" i="1"/>
  <c r="G392" i="1"/>
  <c r="G393" i="1"/>
  <c r="G416" i="1"/>
  <c r="G417" i="1"/>
  <c r="G440" i="1"/>
  <c r="G448" i="1"/>
  <c r="G449" i="1"/>
  <c r="G472" i="1"/>
  <c r="G488" i="1"/>
  <c r="G489" i="1"/>
  <c r="G496" i="1"/>
  <c r="G520" i="1"/>
  <c r="G521" i="1"/>
  <c r="G536" i="1"/>
  <c r="G552" i="1"/>
  <c r="G553" i="1"/>
  <c r="G568" i="1"/>
  <c r="G584" i="1"/>
  <c r="G585" i="1"/>
  <c r="G592" i="1"/>
  <c r="G545" i="1"/>
  <c r="G505" i="1"/>
  <c r="G433" i="1"/>
  <c r="G377" i="1"/>
  <c r="G305" i="1"/>
  <c r="G249" i="1"/>
  <c r="G177" i="1"/>
  <c r="G529" i="1"/>
  <c r="G113" i="1"/>
  <c r="G569" i="1"/>
  <c r="G473" i="1"/>
  <c r="G345" i="1"/>
  <c r="G273" i="1"/>
  <c r="G217" i="1"/>
  <c r="G161" i="1"/>
  <c r="G97" i="1"/>
  <c r="G33" i="1"/>
  <c r="G3" i="1"/>
  <c r="G4" i="1"/>
  <c r="G11" i="1"/>
  <c r="G12" i="1"/>
  <c r="G19" i="1"/>
  <c r="G20" i="1"/>
  <c r="G27" i="1"/>
  <c r="G28" i="1"/>
  <c r="G35" i="1"/>
  <c r="G36" i="1"/>
  <c r="G43" i="1"/>
  <c r="G44" i="1"/>
  <c r="G51" i="1"/>
  <c r="G52" i="1"/>
  <c r="G59" i="1"/>
  <c r="G60" i="1"/>
  <c r="G67" i="1"/>
  <c r="G68" i="1"/>
  <c r="G75" i="1"/>
  <c r="G76" i="1"/>
  <c r="G83" i="1"/>
  <c r="G84" i="1"/>
  <c r="G91" i="1"/>
  <c r="G92" i="1"/>
  <c r="G99" i="1"/>
  <c r="G100" i="1"/>
  <c r="G107" i="1"/>
  <c r="G108" i="1"/>
  <c r="G115" i="1"/>
  <c r="G116" i="1"/>
  <c r="G123" i="1"/>
  <c r="G124" i="1"/>
  <c r="G131" i="1"/>
  <c r="G132" i="1"/>
  <c r="G139" i="1"/>
  <c r="G140" i="1"/>
  <c r="G147" i="1"/>
  <c r="G148" i="1"/>
  <c r="G155" i="1"/>
  <c r="G156" i="1"/>
  <c r="G163" i="1"/>
  <c r="G171" i="1"/>
  <c r="G172" i="1"/>
  <c r="G179" i="1"/>
  <c r="G187" i="1"/>
  <c r="G195" i="1"/>
  <c r="G203" i="1"/>
  <c r="G211" i="1"/>
  <c r="G219" i="1"/>
  <c r="G227" i="1"/>
  <c r="G235" i="1"/>
  <c r="G243" i="1"/>
  <c r="G251" i="1"/>
  <c r="G259" i="1"/>
  <c r="G267" i="1"/>
  <c r="G275" i="1"/>
  <c r="G283" i="1"/>
  <c r="G291" i="1"/>
  <c r="G299" i="1"/>
  <c r="G307" i="1"/>
  <c r="G315" i="1"/>
  <c r="G323" i="1"/>
  <c r="G339" i="1"/>
  <c r="G347" i="1"/>
  <c r="G355" i="1"/>
  <c r="G363" i="1"/>
  <c r="G371" i="1"/>
  <c r="G379" i="1"/>
  <c r="G387" i="1"/>
  <c r="G395" i="1"/>
  <c r="G403" i="1"/>
  <c r="G411" i="1"/>
  <c r="G419" i="1"/>
  <c r="G427" i="1"/>
  <c r="G435" i="1"/>
  <c r="G443" i="1"/>
  <c r="G459" i="1"/>
  <c r="G467" i="1"/>
  <c r="G483" i="1"/>
  <c r="G491" i="1"/>
  <c r="G499" i="1"/>
  <c r="G507" i="1"/>
  <c r="G515" i="1"/>
  <c r="G523" i="1"/>
  <c r="G539" i="1"/>
  <c r="G547" i="1"/>
  <c r="G555" i="1"/>
  <c r="G563" i="1"/>
  <c r="G571" i="1"/>
  <c r="G579" i="1"/>
  <c r="G587" i="1"/>
  <c r="G595" i="1"/>
  <c r="G588" i="1"/>
  <c r="G556" i="1"/>
  <c r="G524" i="1"/>
  <c r="G492" i="1"/>
  <c r="G460" i="1"/>
  <c r="G428" i="1"/>
  <c r="G396" i="1"/>
  <c r="G364" i="1"/>
  <c r="G300" i="1"/>
  <c r="G268" i="1"/>
  <c r="G236" i="1"/>
  <c r="G164" i="1"/>
  <c r="G188" i="1"/>
  <c r="G196" i="1"/>
  <c r="G204" i="1"/>
  <c r="G220" i="1"/>
  <c r="G228" i="1"/>
  <c r="G252" i="1"/>
  <c r="G260" i="1"/>
  <c r="G284" i="1"/>
  <c r="G292" i="1"/>
  <c r="G316" i="1"/>
  <c r="G324" i="1"/>
  <c r="G332" i="1"/>
  <c r="G348" i="1"/>
  <c r="G356" i="1"/>
  <c r="G380" i="1"/>
  <c r="G388" i="1"/>
  <c r="G412" i="1"/>
  <c r="G420" i="1"/>
  <c r="G444" i="1"/>
  <c r="G452" i="1"/>
  <c r="G476" i="1"/>
  <c r="G484" i="1"/>
  <c r="G508" i="1"/>
  <c r="G516" i="1"/>
  <c r="G532" i="1"/>
  <c r="G540" i="1"/>
  <c r="G548" i="1"/>
  <c r="G572" i="1"/>
  <c r="G580" i="1"/>
  <c r="G597" i="1"/>
  <c r="G565" i="1"/>
  <c r="G533" i="1"/>
  <c r="G501" i="1"/>
  <c r="G469" i="1"/>
  <c r="G437" i="1"/>
  <c r="G405" i="1"/>
  <c r="G373" i="1"/>
  <c r="G309" i="1"/>
  <c r="G277" i="1"/>
  <c r="G245" i="1"/>
  <c r="G181" i="1"/>
  <c r="G133" i="1"/>
  <c r="G69" i="1"/>
  <c r="G5" i="1"/>
  <c r="G596" i="1"/>
  <c r="G564" i="1"/>
  <c r="G500" i="1"/>
  <c r="G468" i="1"/>
  <c r="G436" i="1"/>
  <c r="G404" i="1"/>
  <c r="G372" i="1"/>
  <c r="G340" i="1"/>
  <c r="G308" i="1"/>
  <c r="G276" i="1"/>
  <c r="G244" i="1"/>
  <c r="G212" i="1"/>
  <c r="G180" i="1"/>
  <c r="G157" i="1"/>
  <c r="G93" i="1"/>
  <c r="G29" i="1"/>
  <c r="G341" i="1"/>
  <c r="G349" i="1"/>
  <c r="G18" i="1"/>
  <c r="G34" i="1"/>
  <c r="G50" i="1"/>
  <c r="G74" i="1"/>
  <c r="G98" i="1"/>
  <c r="G130" i="1"/>
  <c r="G154" i="1"/>
  <c r="G170" i="1"/>
  <c r="G218" i="1"/>
  <c r="G234" i="1"/>
  <c r="G258" i="1"/>
  <c r="G298" i="1"/>
  <c r="G322" i="1"/>
  <c r="G346" i="1"/>
  <c r="G370" i="1"/>
  <c r="G394" i="1"/>
  <c r="G418" i="1"/>
  <c r="G442" i="1"/>
  <c r="G466" i="1"/>
  <c r="G490" i="1"/>
  <c r="G522" i="1"/>
  <c r="G554" i="1"/>
  <c r="G594" i="1"/>
  <c r="G2" i="1"/>
  <c r="G26" i="1"/>
  <c r="G58" i="1"/>
  <c r="G90" i="1"/>
  <c r="G114" i="1"/>
  <c r="G138" i="1"/>
  <c r="G162" i="1"/>
  <c r="G186" i="1"/>
  <c r="G210" i="1"/>
  <c r="G242" i="1"/>
  <c r="G266" i="1"/>
  <c r="G290" i="1"/>
  <c r="G314" i="1"/>
  <c r="G338" i="1"/>
  <c r="G378" i="1"/>
  <c r="G402" i="1"/>
  <c r="G426" i="1"/>
  <c r="G450" i="1"/>
  <c r="G474" i="1"/>
  <c r="G498" i="1"/>
  <c r="G514" i="1"/>
  <c r="G538" i="1"/>
  <c r="G562" i="1"/>
  <c r="G586" i="1"/>
  <c r="G10" i="1"/>
  <c r="G42" i="1"/>
  <c r="G82" i="1"/>
  <c r="G106" i="1"/>
  <c r="G122" i="1"/>
  <c r="G146" i="1"/>
  <c r="G178" i="1"/>
  <c r="G202" i="1"/>
  <c r="G226" i="1"/>
  <c r="G250" i="1"/>
  <c r="G274" i="1"/>
  <c r="G306" i="1"/>
  <c r="G330" i="1"/>
  <c r="G354" i="1"/>
  <c r="G362" i="1"/>
  <c r="G386" i="1"/>
  <c r="G410" i="1"/>
  <c r="G434" i="1"/>
  <c r="G458" i="1"/>
  <c r="G482" i="1"/>
  <c r="G506" i="1"/>
  <c r="G530" i="1"/>
  <c r="G570" i="1"/>
  <c r="G578" i="1"/>
  <c r="G8" i="1"/>
  <c r="G9" i="1"/>
  <c r="G25" i="1"/>
  <c r="G49" i="1"/>
  <c r="G73" i="1"/>
  <c r="G89" i="1"/>
  <c r="G137" i="1"/>
  <c r="G153" i="1"/>
  <c r="G185" i="1"/>
  <c r="G209" i="1"/>
  <c r="G265" i="1"/>
  <c r="G281" i="1"/>
  <c r="G313" i="1"/>
  <c r="G369" i="1"/>
  <c r="G401" i="1"/>
  <c r="G409" i="1"/>
  <c r="G425" i="1"/>
  <c r="G441" i="1"/>
  <c r="G457" i="1"/>
  <c r="G465" i="1"/>
  <c r="G481" i="1"/>
  <c r="G497" i="1"/>
  <c r="G513" i="1"/>
  <c r="G537" i="1"/>
  <c r="G561" i="1"/>
  <c r="G577" i="1"/>
  <c r="G13" i="1"/>
  <c r="G21" i="1"/>
  <c r="G37" i="1"/>
  <c r="G45" i="1"/>
  <c r="G53" i="1"/>
  <c r="G61" i="1"/>
  <c r="G77" i="1"/>
  <c r="G85" i="1"/>
  <c r="G101" i="1"/>
  <c r="G109" i="1"/>
  <c r="G117" i="1"/>
  <c r="G125" i="1"/>
  <c r="G141" i="1"/>
  <c r="G149" i="1"/>
  <c r="G173" i="1"/>
  <c r="G189" i="1"/>
  <c r="G197" i="1"/>
  <c r="G205" i="1"/>
  <c r="G213" i="1"/>
  <c r="G221" i="1"/>
  <c r="G229" i="1"/>
  <c r="G237" i="1"/>
  <c r="G253" i="1"/>
  <c r="G261" i="1"/>
  <c r="G285" i="1"/>
  <c r="G293" i="1"/>
  <c r="G301" i="1"/>
  <c r="G317" i="1"/>
  <c r="G325" i="1"/>
  <c r="G333" i="1"/>
  <c r="G365" i="1"/>
  <c r="G357" i="1"/>
  <c r="G389" i="1"/>
  <c r="G421" i="1"/>
  <c r="G453" i="1"/>
  <c r="G485" i="1"/>
  <c r="G493" i="1"/>
  <c r="G517" i="1"/>
  <c r="G557" i="1"/>
  <c r="G589" i="1"/>
  <c r="G6" i="1"/>
  <c r="G14" i="1"/>
  <c r="G22" i="1"/>
  <c r="G30" i="1"/>
  <c r="G38" i="1"/>
  <c r="G46" i="1"/>
  <c r="G62" i="1"/>
  <c r="G70" i="1"/>
  <c r="G78" i="1"/>
  <c r="G94" i="1"/>
  <c r="G102" i="1"/>
  <c r="G110" i="1"/>
  <c r="G118" i="1"/>
  <c r="G126" i="1"/>
  <c r="G134" i="1"/>
  <c r="G142" i="1"/>
  <c r="G150" i="1"/>
  <c r="G158" i="1"/>
  <c r="G166" i="1"/>
  <c r="G174" i="1"/>
  <c r="G182" i="1"/>
  <c r="G190" i="1"/>
  <c r="G198" i="1"/>
  <c r="G206" i="1"/>
  <c r="G214" i="1"/>
  <c r="G222" i="1"/>
  <c r="G230" i="1"/>
  <c r="G238" i="1"/>
  <c r="G246" i="1"/>
  <c r="G254" i="1"/>
  <c r="G270" i="1"/>
  <c r="G278" i="1"/>
  <c r="G286" i="1"/>
  <c r="G294" i="1"/>
  <c r="G310" i="1"/>
  <c r="G318" i="1"/>
  <c r="G326" i="1"/>
  <c r="G334" i="1"/>
  <c r="G342" i="1"/>
  <c r="G350" i="1"/>
  <c r="G358" i="1"/>
  <c r="G366" i="1"/>
  <c r="G374" i="1"/>
  <c r="G382" i="1"/>
  <c r="G390" i="1"/>
  <c r="G398" i="1"/>
  <c r="G414" i="1"/>
  <c r="G422" i="1"/>
  <c r="G438" i="1"/>
  <c r="G446" i="1"/>
  <c r="G454" i="1"/>
  <c r="G462" i="1"/>
  <c r="G470" i="1"/>
  <c r="G478" i="1"/>
  <c r="G486" i="1"/>
  <c r="G494" i="1"/>
  <c r="G502" i="1"/>
  <c r="G510" i="1"/>
  <c r="G518" i="1"/>
  <c r="G526" i="1"/>
  <c r="G534" i="1"/>
  <c r="G542" i="1"/>
  <c r="G550" i="1"/>
  <c r="G558" i="1"/>
  <c r="G566" i="1"/>
  <c r="G574" i="1"/>
  <c r="G582" i="1"/>
  <c r="G590" i="1"/>
  <c r="G598" i="1"/>
  <c r="G381" i="1"/>
  <c r="G397" i="1"/>
  <c r="G413" i="1"/>
  <c r="G429" i="1"/>
  <c r="G445" i="1"/>
  <c r="G461" i="1"/>
  <c r="G477" i="1"/>
  <c r="G509" i="1"/>
  <c r="G525" i="1"/>
  <c r="G541" i="1"/>
  <c r="G549" i="1"/>
  <c r="G573" i="1"/>
  <c r="G7" i="1"/>
  <c r="G15" i="1"/>
  <c r="G23" i="1"/>
  <c r="G31" i="1"/>
  <c r="G39" i="1"/>
  <c r="G47" i="1"/>
  <c r="G55" i="1"/>
  <c r="G63" i="1"/>
  <c r="G71" i="1"/>
  <c r="G79" i="1"/>
  <c r="G87" i="1"/>
  <c r="G95" i="1"/>
  <c r="G103" i="1"/>
  <c r="G119" i="1"/>
  <c r="G127" i="1"/>
  <c r="G135" i="1"/>
  <c r="G143" i="1"/>
  <c r="G159" i="1"/>
  <c r="G167" i="1"/>
  <c r="G175" i="1"/>
  <c r="G183" i="1"/>
  <c r="G191" i="1"/>
  <c r="G199" i="1"/>
  <c r="G207" i="1"/>
  <c r="G215" i="1"/>
  <c r="G223" i="1"/>
  <c r="G231" i="1"/>
  <c r="G239" i="1"/>
  <c r="G247" i="1"/>
  <c r="G255" i="1"/>
  <c r="G263" i="1"/>
  <c r="G271" i="1"/>
  <c r="G279" i="1"/>
  <c r="G287" i="1"/>
  <c r="G295" i="1"/>
  <c r="G303" i="1"/>
  <c r="G311" i="1"/>
  <c r="G319" i="1"/>
  <c r="G327" i="1"/>
  <c r="G335" i="1"/>
  <c r="G351" i="1"/>
  <c r="G359" i="1"/>
  <c r="G367" i="1"/>
  <c r="G375" i="1"/>
  <c r="G383" i="1"/>
  <c r="G391" i="1"/>
  <c r="G399" i="1"/>
  <c r="G407" i="1"/>
  <c r="G415" i="1"/>
  <c r="G423" i="1"/>
  <c r="G431" i="1"/>
  <c r="G439" i="1"/>
  <c r="G447" i="1"/>
  <c r="G455" i="1"/>
  <c r="G463" i="1"/>
  <c r="G471" i="1"/>
  <c r="G479" i="1"/>
  <c r="G487" i="1"/>
  <c r="G495" i="1"/>
  <c r="G503" i="1"/>
  <c r="G511" i="1"/>
  <c r="G519" i="1"/>
  <c r="G527" i="1"/>
  <c r="G535" i="1"/>
  <c r="G543" i="1"/>
  <c r="G551" i="1"/>
  <c r="G559" i="1"/>
  <c r="G567" i="1"/>
  <c r="G583" i="1"/>
  <c r="G591" i="1"/>
  <c r="G599" i="1"/>
  <c r="G48" i="1"/>
  <c r="G66" i="1"/>
  <c r="G151" i="1"/>
  <c r="G194" i="1"/>
  <c r="G54" i="1"/>
  <c r="G86" i="1"/>
  <c r="G111" i="1"/>
  <c r="G165" i="1"/>
  <c r="G451" i="1"/>
  <c r="G456" i="1"/>
  <c r="G480" i="1"/>
  <c r="G546" i="1"/>
  <c r="G430" i="1"/>
  <c r="G241" i="1"/>
  <c r="G262" i="1"/>
  <c r="G337" i="1"/>
  <c r="G475" i="1"/>
  <c r="G531" i="1"/>
  <c r="G575" i="1"/>
  <c r="G581" i="1"/>
  <c r="G593" i="1"/>
  <c r="G302" i="1"/>
  <c r="G282" i="1"/>
  <c r="G424" i="1"/>
  <c r="G406" i="1"/>
  <c r="G343" i="1"/>
  <c r="G400" i="1"/>
  <c r="G331" i="1"/>
  <c r="G269" i="1"/>
</calcChain>
</file>

<file path=xl/sharedStrings.xml><?xml version="1.0" encoding="utf-8"?>
<sst xmlns="http://schemas.openxmlformats.org/spreadsheetml/2006/main" count="1226" uniqueCount="613">
  <si>
    <t>AR20000</t>
  </si>
  <si>
    <t>AR20001</t>
  </si>
  <si>
    <t>AR20002</t>
  </si>
  <si>
    <t>AR20005</t>
  </si>
  <si>
    <t>AR20007</t>
  </si>
  <si>
    <t>AR20009</t>
  </si>
  <si>
    <t>AR20010</t>
  </si>
  <si>
    <t>AR20011</t>
  </si>
  <si>
    <t>AR20013</t>
  </si>
  <si>
    <t>AR20014</t>
  </si>
  <si>
    <t>AR20016</t>
  </si>
  <si>
    <t>AR20018</t>
  </si>
  <si>
    <t>AR20019</t>
  </si>
  <si>
    <t>AR20021</t>
  </si>
  <si>
    <t>AR20022</t>
  </si>
  <si>
    <t>AR20023</t>
  </si>
  <si>
    <t>AR20024</t>
  </si>
  <si>
    <t>AR20028</t>
  </si>
  <si>
    <t>AR20029</t>
  </si>
  <si>
    <t>AR20030</t>
  </si>
  <si>
    <t>AR20032</t>
  </si>
  <si>
    <t>AR20033</t>
  </si>
  <si>
    <t>AR20037</t>
  </si>
  <si>
    <t>AR20038</t>
  </si>
  <si>
    <t>AR20039</t>
  </si>
  <si>
    <t>AR20041</t>
  </si>
  <si>
    <t>AR20043</t>
  </si>
  <si>
    <t>AR20044</t>
  </si>
  <si>
    <t>AR20045</t>
  </si>
  <si>
    <t>AR20047</t>
  </si>
  <si>
    <t>AR20048</t>
  </si>
  <si>
    <t>AR20049</t>
  </si>
  <si>
    <t>AR20050</t>
  </si>
  <si>
    <t>AR20051</t>
  </si>
  <si>
    <t>AR20053</t>
  </si>
  <si>
    <t>AR20054</t>
  </si>
  <si>
    <t>AR20055</t>
  </si>
  <si>
    <t>AR20056</t>
  </si>
  <si>
    <t>AR20058</t>
  </si>
  <si>
    <t>AR20060</t>
  </si>
  <si>
    <t>AR20061</t>
  </si>
  <si>
    <t>AR20062</t>
  </si>
  <si>
    <t>AR20063</t>
  </si>
  <si>
    <t>AR20064</t>
  </si>
  <si>
    <t>AR20065</t>
  </si>
  <si>
    <t>AR20066</t>
  </si>
  <si>
    <t>AR20068</t>
  </si>
  <si>
    <t>AR20070</t>
  </si>
  <si>
    <t>AR20071</t>
  </si>
  <si>
    <t>AR20072</t>
  </si>
  <si>
    <t>AR20073</t>
  </si>
  <si>
    <t>AR20074</t>
  </si>
  <si>
    <t>AR20076</t>
  </si>
  <si>
    <t>AR20077</t>
  </si>
  <si>
    <t>AR20078</t>
  </si>
  <si>
    <t>AR20080</t>
  </si>
  <si>
    <t>AR20082</t>
  </si>
  <si>
    <t>AR20083</t>
  </si>
  <si>
    <t>AR20084</t>
  </si>
  <si>
    <t>AR20085</t>
  </si>
  <si>
    <t>AR20086</t>
  </si>
  <si>
    <t>AR20088</t>
  </si>
  <si>
    <t>AR20089</t>
  </si>
  <si>
    <t>AR20091</t>
  </si>
  <si>
    <t>AR20092</t>
  </si>
  <si>
    <t>AR20095</t>
  </si>
  <si>
    <t>AR20096</t>
  </si>
  <si>
    <t>AR20097</t>
  </si>
  <si>
    <t>AR20098</t>
  </si>
  <si>
    <t>AR20099</t>
  </si>
  <si>
    <t>AR20100</t>
  </si>
  <si>
    <t>AR20101</t>
  </si>
  <si>
    <t>AR20103</t>
  </si>
  <si>
    <t>AR20104</t>
  </si>
  <si>
    <t>AR20105</t>
  </si>
  <si>
    <t>AR20106</t>
  </si>
  <si>
    <t>AR20107</t>
  </si>
  <si>
    <t>AR20108</t>
  </si>
  <si>
    <t>AR20109</t>
  </si>
  <si>
    <t>AR20110</t>
  </si>
  <si>
    <t>AR20111</t>
  </si>
  <si>
    <t>AR20113</t>
  </si>
  <si>
    <t>AR20114</t>
  </si>
  <si>
    <t>AR20115</t>
  </si>
  <si>
    <t>AR20116</t>
  </si>
  <si>
    <t>AR20117</t>
  </si>
  <si>
    <t>AR20120</t>
  </si>
  <si>
    <t>AR20121</t>
  </si>
  <si>
    <t>AR20122</t>
  </si>
  <si>
    <t>AR20124</t>
  </si>
  <si>
    <t>AR20126</t>
  </si>
  <si>
    <t>AR20127</t>
  </si>
  <si>
    <t>AR20129</t>
  </si>
  <si>
    <t>AR20131</t>
  </si>
  <si>
    <t>AR20134</t>
  </si>
  <si>
    <t>AR20137</t>
  </si>
  <si>
    <t>AR20139</t>
  </si>
  <si>
    <t>AR20140</t>
  </si>
  <si>
    <t>AR20141</t>
  </si>
  <si>
    <t>AR20142</t>
  </si>
  <si>
    <t>AR20143</t>
  </si>
  <si>
    <t>AR20144</t>
  </si>
  <si>
    <t>AR20145</t>
  </si>
  <si>
    <t>AR20146</t>
  </si>
  <si>
    <t>AR20148</t>
  </si>
  <si>
    <t>AR20149</t>
  </si>
  <si>
    <t>AR20151</t>
  </si>
  <si>
    <t>AR20153</t>
  </si>
  <si>
    <t>AR20154</t>
  </si>
  <si>
    <t>AR20156</t>
  </si>
  <si>
    <t>AR20158</t>
  </si>
  <si>
    <t>AR20159</t>
  </si>
  <si>
    <t>AR20160</t>
  </si>
  <si>
    <t>AR20161</t>
  </si>
  <si>
    <t>AR20165</t>
  </si>
  <si>
    <t>AR20166</t>
  </si>
  <si>
    <t>AR20167</t>
  </si>
  <si>
    <t>AR20170</t>
  </si>
  <si>
    <t>AR20173</t>
  </si>
  <si>
    <t>AR20174</t>
  </si>
  <si>
    <t>AR20175</t>
  </si>
  <si>
    <t>AR20176</t>
  </si>
  <si>
    <t>AR20177</t>
  </si>
  <si>
    <t>AR20178</t>
  </si>
  <si>
    <t>AR20181</t>
  </si>
  <si>
    <t>AR20182</t>
  </si>
  <si>
    <t>AR20183</t>
  </si>
  <si>
    <t>AR20184</t>
  </si>
  <si>
    <t>AR20185</t>
  </si>
  <si>
    <t>AR20186</t>
  </si>
  <si>
    <t>AR20187</t>
  </si>
  <si>
    <t>AR20188</t>
  </si>
  <si>
    <t>AR20189</t>
  </si>
  <si>
    <t>AR20192</t>
  </si>
  <si>
    <t>AR20193</t>
  </si>
  <si>
    <t>AR20196</t>
  </si>
  <si>
    <t>AR20198</t>
  </si>
  <si>
    <t>AR20199</t>
  </si>
  <si>
    <t>AR20200</t>
  </si>
  <si>
    <t>AR20201</t>
  </si>
  <si>
    <t>AR20202</t>
  </si>
  <si>
    <t>AR20205</t>
  </si>
  <si>
    <t>AR20206</t>
  </si>
  <si>
    <t>AR20207</t>
  </si>
  <si>
    <t>AR20209</t>
  </si>
  <si>
    <t>AR20210</t>
  </si>
  <si>
    <t>AR20213</t>
  </si>
  <si>
    <t>AR20214</t>
  </si>
  <si>
    <t>AR20217</t>
  </si>
  <si>
    <t>AR20220</t>
  </si>
  <si>
    <t>AR20221</t>
  </si>
  <si>
    <t>AR20222</t>
  </si>
  <si>
    <t>AR20223</t>
  </si>
  <si>
    <t>AR20224</t>
  </si>
  <si>
    <t>AR20225</t>
  </si>
  <si>
    <t>AR20226</t>
  </si>
  <si>
    <t>AR20227</t>
  </si>
  <si>
    <t>AR20250</t>
  </si>
  <si>
    <t>AR20254</t>
  </si>
  <si>
    <t>AR20255</t>
  </si>
  <si>
    <t>AR20256</t>
  </si>
  <si>
    <t>AR20257</t>
  </si>
  <si>
    <t>AR20258</t>
  </si>
  <si>
    <t>AR20259</t>
  </si>
  <si>
    <t>AR20260</t>
  </si>
  <si>
    <t>AR20261</t>
  </si>
  <si>
    <t>AR20262</t>
  </si>
  <si>
    <t>AR20263</t>
  </si>
  <si>
    <t>AR20264</t>
  </si>
  <si>
    <t>AR20265</t>
  </si>
  <si>
    <t>AR20266</t>
  </si>
  <si>
    <t>AR20267</t>
  </si>
  <si>
    <t>AR20268</t>
  </si>
  <si>
    <t>AR20269</t>
  </si>
  <si>
    <t>AR20270</t>
  </si>
  <si>
    <t>AR20271</t>
  </si>
  <si>
    <t>AR20272</t>
  </si>
  <si>
    <t>AR20273</t>
  </si>
  <si>
    <t>AR20274</t>
  </si>
  <si>
    <t>AR20277</t>
  </si>
  <si>
    <t>AR20278</t>
  </si>
  <si>
    <t>AR20281</t>
  </si>
  <si>
    <t>AR20282</t>
  </si>
  <si>
    <t>AR20283</t>
  </si>
  <si>
    <t>AR20284</t>
  </si>
  <si>
    <t>AR20285</t>
  </si>
  <si>
    <t>AR20286</t>
  </si>
  <si>
    <t>AR20287</t>
  </si>
  <si>
    <t>AR20289</t>
  </si>
  <si>
    <t>AR20290</t>
  </si>
  <si>
    <t>AR20292</t>
  </si>
  <si>
    <t>AR20293</t>
  </si>
  <si>
    <t>AR20295</t>
  </si>
  <si>
    <t>AR20296</t>
  </si>
  <si>
    <t>AR20297</t>
  </si>
  <si>
    <t>AR20298</t>
  </si>
  <si>
    <t>AR20299</t>
  </si>
  <si>
    <t>AR20300</t>
  </si>
  <si>
    <t>AR20302</t>
  </si>
  <si>
    <t>AR20304</t>
  </si>
  <si>
    <t>AR20305</t>
  </si>
  <si>
    <t>AR20307</t>
  </si>
  <si>
    <t>AR20308</t>
  </si>
  <si>
    <t>AR20309</t>
  </si>
  <si>
    <t>AR20310</t>
  </si>
  <si>
    <t>AR20311</t>
  </si>
  <si>
    <t>AR20314</t>
  </si>
  <si>
    <t>AR20316</t>
  </si>
  <si>
    <t>AR20317</t>
  </si>
  <si>
    <t>AR20318</t>
  </si>
  <si>
    <t>AR20320</t>
  </si>
  <si>
    <t>AR20321</t>
  </si>
  <si>
    <t>AR20322</t>
  </si>
  <si>
    <t>AR20323</t>
  </si>
  <si>
    <t>AR20326</t>
  </si>
  <si>
    <t>AR20327</t>
  </si>
  <si>
    <t>AR20328</t>
  </si>
  <si>
    <t>AR20329</t>
  </si>
  <si>
    <t>AR20330</t>
  </si>
  <si>
    <t>AR20331</t>
  </si>
  <si>
    <t>AR20332</t>
  </si>
  <si>
    <t>AR20333</t>
  </si>
  <si>
    <t>AR20334</t>
  </si>
  <si>
    <t>AR20337</t>
  </si>
  <si>
    <t>AR20339</t>
  </si>
  <si>
    <t>AR20340</t>
  </si>
  <si>
    <t>AR20343</t>
  </si>
  <si>
    <t>AR20344</t>
  </si>
  <si>
    <t>AR20345</t>
  </si>
  <si>
    <t>AR20346</t>
  </si>
  <si>
    <t>AR20347</t>
  </si>
  <si>
    <t>AR20348</t>
  </si>
  <si>
    <t>AR20349</t>
  </si>
  <si>
    <t>AR20350</t>
  </si>
  <si>
    <t>AR20353</t>
  </si>
  <si>
    <t>AR20354</t>
  </si>
  <si>
    <t>AR20358</t>
  </si>
  <si>
    <t>AR20360</t>
  </si>
  <si>
    <t>AR20362</t>
  </si>
  <si>
    <t>AR20363</t>
  </si>
  <si>
    <t>AR20364</t>
  </si>
  <si>
    <t>AR20368</t>
  </si>
  <si>
    <t>AR20369</t>
  </si>
  <si>
    <t>AR20370</t>
  </si>
  <si>
    <t>AR20371</t>
  </si>
  <si>
    <t>AR20375</t>
  </si>
  <si>
    <t>AR20377</t>
  </si>
  <si>
    <t>AR20382</t>
  </si>
  <si>
    <t>AR20383</t>
  </si>
  <si>
    <t>AR20384</t>
  </si>
  <si>
    <t>AR20385</t>
  </si>
  <si>
    <t>AR20386</t>
  </si>
  <si>
    <t>AR20388</t>
  </si>
  <si>
    <t>AR20389</t>
  </si>
  <si>
    <t>AR20391</t>
  </si>
  <si>
    <t>AR20392</t>
  </si>
  <si>
    <t>AR20393</t>
  </si>
  <si>
    <t>AR20394</t>
  </si>
  <si>
    <t>AR20395</t>
  </si>
  <si>
    <t>AR20396</t>
  </si>
  <si>
    <t>AR20397</t>
  </si>
  <si>
    <t>AR20399</t>
  </si>
  <si>
    <t>AR20401</t>
  </si>
  <si>
    <t>AR20404</t>
  </si>
  <si>
    <t>AR20405</t>
  </si>
  <si>
    <t>AR20406</t>
  </si>
  <si>
    <t>AR20407</t>
  </si>
  <si>
    <t>AR20408</t>
  </si>
  <si>
    <t>AR20413</t>
  </si>
  <si>
    <t>AR20414</t>
  </si>
  <si>
    <t>AR20416</t>
  </si>
  <si>
    <t>AR20418</t>
  </si>
  <si>
    <t>AR20420</t>
  </si>
  <si>
    <t>AR20421</t>
  </si>
  <si>
    <t>AR20425</t>
  </si>
  <si>
    <t>AR20426</t>
  </si>
  <si>
    <t>AR20428</t>
  </si>
  <si>
    <t>AR20429</t>
  </si>
  <si>
    <t>AR20430</t>
  </si>
  <si>
    <t>AR20431</t>
  </si>
  <si>
    <t>AR20432</t>
  </si>
  <si>
    <t>AR20433</t>
  </si>
  <si>
    <t>AR20434</t>
  </si>
  <si>
    <t>AR20435</t>
  </si>
  <si>
    <t>AR20437</t>
  </si>
  <si>
    <t>AR20441</t>
  </si>
  <si>
    <t>AR20442</t>
  </si>
  <si>
    <t>AR20446</t>
  </si>
  <si>
    <t>AR20447</t>
  </si>
  <si>
    <t>AR20448</t>
  </si>
  <si>
    <t>AR20450</t>
  </si>
  <si>
    <t>AR20451</t>
  </si>
  <si>
    <t>AR20452</t>
  </si>
  <si>
    <t>AR20453</t>
  </si>
  <si>
    <t>AR20454</t>
  </si>
  <si>
    <t>AR20455</t>
  </si>
  <si>
    <t>AR20456</t>
  </si>
  <si>
    <t>AR20457</t>
  </si>
  <si>
    <t>AR20459</t>
  </si>
  <si>
    <t>AR20460</t>
  </si>
  <si>
    <t>AR20462</t>
  </si>
  <si>
    <t>AR20465</t>
  </si>
  <si>
    <t>AR20466</t>
  </si>
  <si>
    <t>AR20467</t>
  </si>
  <si>
    <t>AR20468</t>
  </si>
  <si>
    <t>AR20471</t>
  </si>
  <si>
    <t>AR20472</t>
  </si>
  <si>
    <t>AR20474</t>
  </si>
  <si>
    <t>AR20475</t>
  </si>
  <si>
    <t>AR20477</t>
  </si>
  <si>
    <t>AR20478</t>
  </si>
  <si>
    <t>AR20479</t>
  </si>
  <si>
    <t>AR20481</t>
  </si>
  <si>
    <t>AR20482</t>
  </si>
  <si>
    <t>AR20485</t>
  </si>
  <si>
    <t>AR20491</t>
  </si>
  <si>
    <t>AR20492</t>
  </si>
  <si>
    <t>AR20493</t>
  </si>
  <si>
    <t>AR20495</t>
  </si>
  <si>
    <t>AR20496</t>
  </si>
  <si>
    <t>AR20497</t>
  </si>
  <si>
    <t>AR20500</t>
  </si>
  <si>
    <t>AR20501</t>
  </si>
  <si>
    <t>AR20502</t>
  </si>
  <si>
    <t>AR20503</t>
  </si>
  <si>
    <t>AR20505</t>
  </si>
  <si>
    <t>AR20507</t>
  </si>
  <si>
    <t>AR20508</t>
  </si>
  <si>
    <t>AR20509</t>
  </si>
  <si>
    <t>AR20510</t>
  </si>
  <si>
    <t>AR20512</t>
  </si>
  <si>
    <t>AR20514</t>
  </si>
  <si>
    <t>AR20515</t>
  </si>
  <si>
    <t>AR20516</t>
  </si>
  <si>
    <t>AR20517</t>
  </si>
  <si>
    <t>AR20518</t>
  </si>
  <si>
    <t>AR20519</t>
  </si>
  <si>
    <t>AR20520</t>
  </si>
  <si>
    <t>AR20521</t>
  </si>
  <si>
    <t>AR20522</t>
  </si>
  <si>
    <t>AR20523</t>
  </si>
  <si>
    <t>AR20524</t>
  </si>
  <si>
    <t>AR20525</t>
  </si>
  <si>
    <t>AR20526</t>
  </si>
  <si>
    <t>AR20528</t>
  </si>
  <si>
    <t>AR20529</t>
  </si>
  <si>
    <t>AR20533</t>
  </si>
  <si>
    <t>AR20534</t>
  </si>
  <si>
    <t>AR20535</t>
  </si>
  <si>
    <t>AR20536</t>
  </si>
  <si>
    <t>AR20537</t>
  </si>
  <si>
    <t>AR20538</t>
  </si>
  <si>
    <t>AR20539</t>
  </si>
  <si>
    <t>AR20541</t>
  </si>
  <si>
    <t>AR20542</t>
  </si>
  <si>
    <t>AR20543</t>
  </si>
  <si>
    <t>AR20545</t>
  </si>
  <si>
    <t>AR20546</t>
  </si>
  <si>
    <t>AR20547</t>
  </si>
  <si>
    <t>AR20548</t>
  </si>
  <si>
    <t>AR20550</t>
  </si>
  <si>
    <t>AR20551</t>
  </si>
  <si>
    <t>AR20552</t>
  </si>
  <si>
    <t>AR20554</t>
  </si>
  <si>
    <t>AR20556</t>
  </si>
  <si>
    <t>AR20557</t>
  </si>
  <si>
    <t>AR20558</t>
  </si>
  <si>
    <t>AR20560</t>
  </si>
  <si>
    <t>AR20561</t>
  </si>
  <si>
    <t>AR20562</t>
  </si>
  <si>
    <t>AR20563</t>
  </si>
  <si>
    <t>AR20565</t>
  </si>
  <si>
    <t>AR20566</t>
  </si>
  <si>
    <t>AR20567</t>
  </si>
  <si>
    <t>AR20568</t>
  </si>
  <si>
    <t>AR20569</t>
  </si>
  <si>
    <t>AR20570</t>
  </si>
  <si>
    <t>AR20571</t>
  </si>
  <si>
    <t>AR20573</t>
  </si>
  <si>
    <t>AR20577</t>
  </si>
  <si>
    <t>AR20580</t>
  </si>
  <si>
    <t>AR20582</t>
  </si>
  <si>
    <t>AR20583</t>
  </si>
  <si>
    <t>AR20584</t>
  </si>
  <si>
    <t>AR20586</t>
  </si>
  <si>
    <t>AR20587</t>
  </si>
  <si>
    <t>AR20588</t>
  </si>
  <si>
    <t>AR20592</t>
  </si>
  <si>
    <t>AR20593</t>
  </si>
  <si>
    <t>AR20594</t>
  </si>
  <si>
    <t>AR20596</t>
  </si>
  <si>
    <t>AR20597</t>
  </si>
  <si>
    <t>AR20598</t>
  </si>
  <si>
    <t>AR20600</t>
  </si>
  <si>
    <t>AR20601</t>
  </si>
  <si>
    <t>AR20603</t>
  </si>
  <si>
    <t>AR20604</t>
  </si>
  <si>
    <t>AR20605</t>
  </si>
  <si>
    <t>AR20606</t>
  </si>
  <si>
    <t>AR20607</t>
  </si>
  <si>
    <t>AR20608</t>
  </si>
  <si>
    <t>AR20609</t>
  </si>
  <si>
    <t>AR20610</t>
  </si>
  <si>
    <t>AR20612</t>
  </si>
  <si>
    <t>AR20613</t>
  </si>
  <si>
    <t>AR20614</t>
  </si>
  <si>
    <t>AR20615</t>
  </si>
  <si>
    <t>AR20617</t>
  </si>
  <si>
    <t>AR20618</t>
  </si>
  <si>
    <t>AR20619</t>
  </si>
  <si>
    <t>AR20622</t>
  </si>
  <si>
    <t>AR20624</t>
  </si>
  <si>
    <t>AR20625</t>
  </si>
  <si>
    <t>AR20626</t>
  </si>
  <si>
    <t>AR20628</t>
  </si>
  <si>
    <t>AR20629</t>
  </si>
  <si>
    <t>AR20630</t>
  </si>
  <si>
    <t>AR20631</t>
  </si>
  <si>
    <t>AR20634</t>
  </si>
  <si>
    <t>AR20635</t>
  </si>
  <si>
    <t>AR20636</t>
  </si>
  <si>
    <t>AR20637</t>
  </si>
  <si>
    <t>AR20638</t>
  </si>
  <si>
    <t>AR20639</t>
  </si>
  <si>
    <t>AR20640</t>
  </si>
  <si>
    <t>AR20641</t>
  </si>
  <si>
    <t>AR20642</t>
  </si>
  <si>
    <t>AR20646</t>
  </si>
  <si>
    <t>AR20648</t>
  </si>
  <si>
    <t>AR20649</t>
  </si>
  <si>
    <t>AR20650</t>
  </si>
  <si>
    <t>AR20653</t>
  </si>
  <si>
    <t>AR20654</t>
  </si>
  <si>
    <t>AR20655</t>
  </si>
  <si>
    <t>AR20656</t>
  </si>
  <si>
    <t>AR20657</t>
  </si>
  <si>
    <t>AR20658</t>
  </si>
  <si>
    <t>AR20659</t>
  </si>
  <si>
    <t>AR20664</t>
  </si>
  <si>
    <t>AR20665</t>
  </si>
  <si>
    <t>AR20666</t>
  </si>
  <si>
    <t>AR20668</t>
  </si>
  <si>
    <t>AR20671</t>
  </si>
  <si>
    <t>AR20672</t>
  </si>
  <si>
    <t>AR20673</t>
  </si>
  <si>
    <t>AR20674</t>
  </si>
  <si>
    <t>AR20676</t>
  </si>
  <si>
    <t>AR20679</t>
  </si>
  <si>
    <t>AR20680</t>
  </si>
  <si>
    <t>AR20681</t>
  </si>
  <si>
    <t>AR20684</t>
  </si>
  <si>
    <t>AR20685</t>
  </si>
  <si>
    <t>AR20686</t>
  </si>
  <si>
    <t>AR20687</t>
  </si>
  <si>
    <t>AR20688</t>
  </si>
  <si>
    <t>AR20689</t>
  </si>
  <si>
    <t>AR20690</t>
  </si>
  <si>
    <t>AR20691</t>
  </si>
  <si>
    <t>AR20693</t>
  </si>
  <si>
    <t>AR20694</t>
  </si>
  <si>
    <t>AR20695</t>
  </si>
  <si>
    <t>AR20696</t>
  </si>
  <si>
    <t>AR20697</t>
  </si>
  <si>
    <t>AR20698</t>
  </si>
  <si>
    <t>AR20699</t>
  </si>
  <si>
    <t>AR20700</t>
  </si>
  <si>
    <t>AR20702</t>
  </si>
  <si>
    <t>AR20704</t>
  </si>
  <si>
    <t>AR20705</t>
  </si>
  <si>
    <t>AR20706</t>
  </si>
  <si>
    <t>AR20708</t>
  </si>
  <si>
    <t>AR20709</t>
  </si>
  <si>
    <t>AR20710</t>
  </si>
  <si>
    <t>AR20712</t>
  </si>
  <si>
    <t>AR20713</t>
  </si>
  <si>
    <t>AR20715</t>
  </si>
  <si>
    <t>AR20717</t>
  </si>
  <si>
    <t>AR20718</t>
  </si>
  <si>
    <t>AR20720</t>
  </si>
  <si>
    <t>AR20721</t>
  </si>
  <si>
    <t>AR20722</t>
  </si>
  <si>
    <t>AR20725</t>
  </si>
  <si>
    <t>AR20726</t>
  </si>
  <si>
    <t>AR20727</t>
  </si>
  <si>
    <t>AR20728</t>
  </si>
  <si>
    <t>AR20729</t>
  </si>
  <si>
    <t>AR20731</t>
  </si>
  <si>
    <t>AR20733</t>
  </si>
  <si>
    <t>AR20735</t>
  </si>
  <si>
    <t>AR20736</t>
  </si>
  <si>
    <t>AR20738</t>
  </si>
  <si>
    <t>AR20741</t>
  </si>
  <si>
    <t>AR20743</t>
  </si>
  <si>
    <t>AR20745</t>
  </si>
  <si>
    <t>AR20747</t>
  </si>
  <si>
    <t>AR20748</t>
  </si>
  <si>
    <t>AR20749</t>
  </si>
  <si>
    <t>AR20750</t>
  </si>
  <si>
    <t>AR20751</t>
  </si>
  <si>
    <t>AR20752</t>
  </si>
  <si>
    <t>AR20753</t>
  </si>
  <si>
    <t>AR20754</t>
  </si>
  <si>
    <t>AR20756</t>
  </si>
  <si>
    <t>AR20764</t>
  </si>
  <si>
    <t>AR20766</t>
  </si>
  <si>
    <t>AR20767</t>
  </si>
  <si>
    <t>AR20769</t>
  </si>
  <si>
    <t>AR20770</t>
  </si>
  <si>
    <t>AR20774</t>
  </si>
  <si>
    <t>AR20776</t>
  </si>
  <si>
    <t>AR20777</t>
  </si>
  <si>
    <t>AR20781</t>
  </si>
  <si>
    <t>AR20783</t>
  </si>
  <si>
    <t>AR20786</t>
  </si>
  <si>
    <t>AR20788</t>
  </si>
  <si>
    <t>AR20789</t>
  </si>
  <si>
    <t>AR20791</t>
  </si>
  <si>
    <t>AR20792</t>
  </si>
  <si>
    <t>AR20793</t>
  </si>
  <si>
    <t>AR20794</t>
  </si>
  <si>
    <t>AR20795</t>
  </si>
  <si>
    <t>AR20796</t>
  </si>
  <si>
    <t>AR20797</t>
  </si>
  <si>
    <t>AR20798</t>
  </si>
  <si>
    <t>AR20799</t>
  </si>
  <si>
    <t>AR20802</t>
  </si>
  <si>
    <t>AR20804</t>
  </si>
  <si>
    <t>AR20805</t>
  </si>
  <si>
    <t>AR20808</t>
  </si>
  <si>
    <t>AR20811</t>
  </si>
  <si>
    <t>AR20812</t>
  </si>
  <si>
    <t>AR20813</t>
  </si>
  <si>
    <t>AR20814</t>
  </si>
  <si>
    <t>AR20815</t>
  </si>
  <si>
    <t>AR20816</t>
  </si>
  <si>
    <t>AR20819</t>
  </si>
  <si>
    <t>AR20820</t>
  </si>
  <si>
    <t>AR20821</t>
  </si>
  <si>
    <t>AR20822</t>
  </si>
  <si>
    <t>AR20823</t>
  </si>
  <si>
    <t>AR20824</t>
  </si>
  <si>
    <t>AR20825</t>
  </si>
  <si>
    <t>AR20826</t>
  </si>
  <si>
    <t>AR20827</t>
  </si>
  <si>
    <t>AR20829</t>
  </si>
  <si>
    <t>AR20830</t>
  </si>
  <si>
    <t>AR20832</t>
  </si>
  <si>
    <t>AR20835</t>
  </si>
  <si>
    <t>AR20836</t>
  </si>
  <si>
    <t>AR20837</t>
  </si>
  <si>
    <t>AR20838</t>
  </si>
  <si>
    <t>AR20839</t>
  </si>
  <si>
    <t>AR20842</t>
  </si>
  <si>
    <t>AR20843</t>
  </si>
  <si>
    <t>AR20844</t>
  </si>
  <si>
    <t>AR20847</t>
  </si>
  <si>
    <t>AR20848</t>
  </si>
  <si>
    <t>AR20849</t>
  </si>
  <si>
    <t>AR20850</t>
  </si>
  <si>
    <t>AR20851</t>
  </si>
  <si>
    <t>AR20853</t>
  </si>
  <si>
    <t>AR20854</t>
  </si>
  <si>
    <t>AR20856</t>
  </si>
  <si>
    <t>AR20858</t>
  </si>
  <si>
    <t>AR20859</t>
  </si>
  <si>
    <t>AR20860</t>
  </si>
  <si>
    <t>AR20861</t>
  </si>
  <si>
    <t>AR20862</t>
  </si>
  <si>
    <t>AR20865</t>
  </si>
  <si>
    <t>AR20866</t>
  </si>
  <si>
    <t>AR20867</t>
  </si>
  <si>
    <t>AR20868</t>
  </si>
  <si>
    <t>AR20869</t>
  </si>
  <si>
    <t>AR20870</t>
  </si>
  <si>
    <t>AR20871</t>
  </si>
  <si>
    <t>AR20872</t>
  </si>
  <si>
    <t>AR20874</t>
  </si>
  <si>
    <t>AR20876</t>
  </si>
  <si>
    <t>AR20877</t>
  </si>
  <si>
    <t>AR20878</t>
  </si>
  <si>
    <t>AR20879</t>
  </si>
  <si>
    <t>AR20880</t>
  </si>
  <si>
    <t>AR20881</t>
  </si>
  <si>
    <t>AR20884</t>
  </si>
  <si>
    <t>AR20887</t>
  </si>
  <si>
    <t>AR20889</t>
  </si>
  <si>
    <t>AR20890</t>
  </si>
  <si>
    <t>AR20892</t>
  </si>
  <si>
    <t>AR20893</t>
  </si>
  <si>
    <t>AR20895</t>
  </si>
  <si>
    <t>AR20898</t>
  </si>
  <si>
    <t>Soylent</t>
  </si>
  <si>
    <t>Umbrella</t>
  </si>
  <si>
    <t>Acme</t>
  </si>
  <si>
    <t>Initech</t>
  </si>
  <si>
    <t>Globex</t>
  </si>
  <si>
    <t>Invoice term (days)</t>
  </si>
  <si>
    <t>ar_id</t>
  </si>
  <si>
    <t>customer</t>
  </si>
  <si>
    <t>invoice_date</t>
  </si>
  <si>
    <t>due_date</t>
  </si>
  <si>
    <t>amount</t>
  </si>
  <si>
    <t>past_due_days</t>
  </si>
  <si>
    <t>aging_category</t>
  </si>
  <si>
    <t>due_days</t>
  </si>
  <si>
    <t>Not due</t>
  </si>
  <si>
    <t>1-30</t>
  </si>
  <si>
    <t>31-60</t>
  </si>
  <si>
    <t>61-90</t>
  </si>
  <si>
    <t>&gt;90</t>
  </si>
  <si>
    <t>1-31</t>
  </si>
  <si>
    <t>Sum of amount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</si>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</sst>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2" x14ac:knownFonts="1">
    <font>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39997558519241921"/>
        <bgColor indexed="64"/>
      </patternFill>
    </fill>
  </fills>
  <borders count="7">
    <border>
      <left/>
      <right/>
      <top/>
      <bottom/>
      <diagonal/>
    </border>
    <border>
      <left/>
      <right/>
      <top style="thin">
        <color auto="1"/>
      </top>
      <bottom/>
      <diagonal/>
    </border>
    <border>
      <left style="thin">
        <color theme="0"/>
      </left>
      <right/>
      <top style="thin">
        <color theme="0"/>
      </top>
      <bottom/>
      <diagonal/>
    </border>
    <border>
      <left style="thin">
        <color theme="0"/>
      </left>
      <right/>
      <top style="thin">
        <color auto="1"/>
      </top>
      <bottom/>
      <diagonal/>
    </border>
    <border>
      <left/>
      <right/>
      <top style="thin">
        <color theme="0"/>
      </top>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25">
    <xf numFmtId="0" fontId="0" fillId="0" borderId="0" xfId="0"/>
    <xf numFmtId="14" fontId="0" fillId="0" borderId="0" xfId="0" applyNumberFormat="1"/>
    <xf numFmtId="0" fontId="0" fillId="4" borderId="2" xfId="0" applyFont="1" applyFill="1" applyBorder="1"/>
    <xf numFmtId="166" fontId="0" fillId="0" borderId="0" xfId="0" applyNumberFormat="1"/>
    <xf numFmtId="0" fontId="0" fillId="3" borderId="2" xfId="0" applyFont="1" applyFill="1" applyBorder="1"/>
    <xf numFmtId="0" fontId="0" fillId="5" borderId="0" xfId="0" applyFill="1"/>
    <xf numFmtId="0" fontId="0" fillId="0" borderId="0" xfId="0" applyNumberFormat="1"/>
    <xf numFmtId="0" fontId="0" fillId="3" borderId="1" xfId="0" applyFont="1" applyFill="1" applyBorder="1"/>
    <xf numFmtId="0" fontId="0" fillId="3" borderId="3" xfId="0" applyFont="1" applyFill="1" applyBorder="1"/>
    <xf numFmtId="14" fontId="0" fillId="3" borderId="3" xfId="0" applyNumberFormat="1" applyFont="1" applyFill="1" applyBorder="1"/>
    <xf numFmtId="166" fontId="0" fillId="3" borderId="3" xfId="0" applyNumberFormat="1" applyFont="1" applyFill="1" applyBorder="1"/>
    <xf numFmtId="0" fontId="0" fillId="4" borderId="4" xfId="0" applyFont="1" applyFill="1" applyBorder="1"/>
    <xf numFmtId="14" fontId="0" fillId="4" borderId="2" xfId="0" applyNumberFormat="1" applyFont="1" applyFill="1" applyBorder="1"/>
    <xf numFmtId="166" fontId="0" fillId="4" borderId="2" xfId="0" applyNumberFormat="1" applyFont="1" applyFill="1" applyBorder="1"/>
    <xf numFmtId="0" fontId="0" fillId="3" borderId="4" xfId="0" applyFont="1" applyFill="1" applyBorder="1"/>
    <xf numFmtId="14" fontId="0" fillId="3" borderId="2" xfId="0" applyNumberFormat="1" applyFont="1" applyFill="1" applyBorder="1"/>
    <xf numFmtId="166" fontId="0" fillId="3" borderId="2" xfId="0" applyNumberFormat="1" applyFont="1" applyFill="1" applyBorder="1"/>
    <xf numFmtId="0" fontId="1" fillId="2" borderId="5" xfId="0" applyFont="1" applyFill="1" applyBorder="1" applyAlignment="1">
      <alignment horizontal="center" vertical="top"/>
    </xf>
    <xf numFmtId="14" fontId="1" fillId="2" borderId="5" xfId="0" applyNumberFormat="1" applyFont="1" applyFill="1" applyBorder="1" applyAlignment="1">
      <alignment horizontal="center" vertical="top"/>
    </xf>
    <xf numFmtId="166" fontId="1" fillId="2" borderId="5" xfId="0" applyNumberFormat="1" applyFont="1" applyFill="1" applyBorder="1" applyAlignment="1">
      <alignment horizontal="center" vertical="top"/>
    </xf>
    <xf numFmtId="0" fontId="1" fillId="2" borderId="6" xfId="0" applyFont="1" applyFill="1" applyBorder="1" applyAlignment="1">
      <alignment horizontal="center" vertical="top"/>
    </xf>
    <xf numFmtId="0" fontId="0" fillId="3" borderId="3" xfId="0" applyNumberFormat="1" applyFont="1" applyFill="1" applyBorder="1"/>
    <xf numFmtId="17" fontId="0" fillId="0" borderId="0" xfId="0" quotePrefix="1" applyNumberFormat="1"/>
    <xf numFmtId="0" fontId="0" fillId="0" borderId="0" xfId="0" pivotButton="1"/>
    <xf numFmtId="0" fontId="0" fillId="0" borderId="0" xfId="0" applyAlignment="1">
      <alignment horizontal="left"/>
    </xf>
  </cellXfs>
  <cellStyles count="1">
    <cellStyle name="Normal" xfId="0" builtinId="0"/>
  </cellStyles>
  <dxfs count="10">
    <dxf>
      <font>
        <b val="0"/>
        <i val="0"/>
        <strike val="0"/>
        <condense val="0"/>
        <extend val="0"/>
        <outline val="0"/>
        <shadow val="0"/>
        <u val="none"/>
        <vertAlign val="baseline"/>
        <sz val="11"/>
        <color theme="1"/>
        <name val="Calibri"/>
        <family val="2"/>
        <scheme val="minor"/>
      </font>
      <numFmt numFmtId="0" formatCode="General"/>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6" formatCode="&quot;€&quot;\ #,##0.00"/>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theme="0"/>
        </top>
        <bottom/>
        <vertical/>
        <horizontal/>
      </border>
    </dxf>
    <dxf>
      <border outline="0">
        <top style="thin">
          <color auto="1"/>
        </top>
      </border>
    </dxf>
  </dxfs>
  <tableStyles count="0" defaultTableStyle="TableStyleMedium9" defaultPivotStyle="PivotStyleLight16"/>
  <colors>
    <mruColors>
      <color rgb="FFFFFF66"/>
      <color rgb="FFD836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[Accounts-Receivable.xlsx]aged_AR_chart!PivotTable1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Aged</a:t>
            </a:r>
            <a:r>
              <a:rPr lang="en-GB" baseline="0"/>
              <a:t> AR Schedule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836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aged_AR_chart!$B$3:$B$4</c:f>
              <c:strCache>
                <c:ptCount val="1"/>
                <c:pt idx="0">
                  <c:v>Not due</c:v>
                </c:pt>
              </c:strCache>
            </c:strRef>
          </c:tx>
          <c:spPr>
            <a:solidFill>
              <a:srgbClr val="00B050"/>
            </a:solidFill>
            <a:ln>
              <a:noFill/>
            </a:ln>
            <a:effectLst/>
          </c:spPr>
          <c:invertIfNegative val="0"/>
          <c:cat>
            <c:strRef>
              <c:f>aged_AR_chart!$A$5:$A$8</c:f>
              <c:strCache>
                <c:ptCount val="3"/>
                <c:pt idx="0">
                  <c:v>Acme</c:v>
                </c:pt>
                <c:pt idx="1">
                  <c:v>Globex</c:v>
                </c:pt>
                <c:pt idx="2">
                  <c:v>Umbrella</c:v>
                </c:pt>
              </c:strCache>
            </c:strRef>
          </c:cat>
          <c:val>
            <c:numRef>
              <c:f>aged_AR_chart!$B$5:$B$8</c:f>
              <c:numCache>
                <c:formatCode>"€"\ #,##0.00</c:formatCode>
                <c:ptCount val="3"/>
                <c:pt idx="0">
                  <c:v>109484.82999999997</c:v>
                </c:pt>
                <c:pt idx="1">
                  <c:v>85089.760000000009</c:v>
                </c:pt>
                <c:pt idx="2">
                  <c:v>97593.03</c:v>
                </c:pt>
              </c:numCache>
            </c:numRef>
          </c:val>
          <c:extLst>
            <c:ext xmlns:c16="http://schemas.microsoft.com/office/drawing/2014/chart" uri="{C3380CC4-5D6E-409C-BE32-E72D297353CC}">
              <c16:uniqueId val="{00000000-05C2-4872-A0A4-BF93672A7EBF}"/>
            </c:ext>
          </c:extLst>
        </c:ser>
        <c:ser>
          <c:idx val="1"/>
          <c:order val="1"/>
          <c:tx>
            <c:strRef>
              <c:f>aged_AR_chart!$C$3:$C$4</c:f>
              <c:strCache>
                <c:ptCount val="1"/>
                <c:pt idx="0">
                  <c:v>1-31</c:v>
                </c:pt>
              </c:strCache>
            </c:strRef>
          </c:tx>
          <c:spPr>
            <a:solidFill>
              <a:srgbClr val="92D050"/>
            </a:solidFill>
            <a:ln>
              <a:noFill/>
            </a:ln>
            <a:effectLst/>
          </c:spPr>
          <c:invertIfNegative val="0"/>
          <c:cat>
            <c:strRef>
              <c:f>aged_AR_chart!$A$5:$A$8</c:f>
              <c:strCache>
                <c:ptCount val="3"/>
                <c:pt idx="0">
                  <c:v>Acme</c:v>
                </c:pt>
                <c:pt idx="1">
                  <c:v>Globex</c:v>
                </c:pt>
                <c:pt idx="2">
                  <c:v>Umbrella</c:v>
                </c:pt>
              </c:strCache>
            </c:strRef>
          </c:cat>
          <c:val>
            <c:numRef>
              <c:f>aged_AR_chart!$C$5:$C$8</c:f>
              <c:numCache>
                <c:formatCode>"€"\ #,##0.00</c:formatCode>
                <c:ptCount val="3"/>
                <c:pt idx="0">
                  <c:v>36833.1</c:v>
                </c:pt>
                <c:pt idx="1">
                  <c:v>51103.68</c:v>
                </c:pt>
                <c:pt idx="2">
                  <c:v>45892.85</c:v>
                </c:pt>
              </c:numCache>
            </c:numRef>
          </c:val>
          <c:extLst>
            <c:ext xmlns:c16="http://schemas.microsoft.com/office/drawing/2014/chart" uri="{C3380CC4-5D6E-409C-BE32-E72D297353CC}">
              <c16:uniqueId val="{00000001-05C2-4872-A0A4-BF93672A7EBF}"/>
            </c:ext>
          </c:extLst>
        </c:ser>
        <c:ser>
          <c:idx val="2"/>
          <c:order val="2"/>
          <c:tx>
            <c:strRef>
              <c:f>aged_AR_chart!$D$3:$D$4</c:f>
              <c:strCache>
                <c:ptCount val="1"/>
                <c:pt idx="0">
                  <c:v>31-60</c:v>
                </c:pt>
              </c:strCache>
            </c:strRef>
          </c:tx>
          <c:spPr>
            <a:solidFill>
              <a:srgbClr val="FFFF66"/>
            </a:solidFill>
            <a:ln>
              <a:noFill/>
            </a:ln>
            <a:effectLst/>
          </c:spPr>
          <c:invertIfNegative val="0"/>
          <c:cat>
            <c:strRef>
              <c:f>aged_AR_chart!$A$5:$A$8</c:f>
              <c:strCache>
                <c:ptCount val="3"/>
                <c:pt idx="0">
                  <c:v>Acme</c:v>
                </c:pt>
                <c:pt idx="1">
                  <c:v>Globex</c:v>
                </c:pt>
                <c:pt idx="2">
                  <c:v>Umbrella</c:v>
                </c:pt>
              </c:strCache>
            </c:strRef>
          </c:cat>
          <c:val>
            <c:numRef>
              <c:f>aged_AR_chart!$D$5:$D$8</c:f>
              <c:numCache>
                <c:formatCode>"€"\ #,##0.00</c:formatCode>
                <c:ptCount val="3"/>
                <c:pt idx="0">
                  <c:v>37107.85</c:v>
                </c:pt>
                <c:pt idx="1">
                  <c:v>51459.38</c:v>
                </c:pt>
                <c:pt idx="2">
                  <c:v>61078.299999999988</c:v>
                </c:pt>
              </c:numCache>
            </c:numRef>
          </c:val>
          <c:extLst>
            <c:ext xmlns:c16="http://schemas.microsoft.com/office/drawing/2014/chart" uri="{C3380CC4-5D6E-409C-BE32-E72D297353CC}">
              <c16:uniqueId val="{00000002-05C2-4872-A0A4-BF93672A7EBF}"/>
            </c:ext>
          </c:extLst>
        </c:ser>
        <c:ser>
          <c:idx val="3"/>
          <c:order val="3"/>
          <c:tx>
            <c:strRef>
              <c:f>aged_AR_chart!$E$3:$E$4</c:f>
              <c:strCache>
                <c:ptCount val="1"/>
                <c:pt idx="0">
                  <c:v>61-90</c:v>
                </c:pt>
              </c:strCache>
            </c:strRef>
          </c:tx>
          <c:spPr>
            <a:solidFill>
              <a:schemeClr val="accent6">
                <a:lumMod val="75000"/>
              </a:schemeClr>
            </a:solidFill>
            <a:ln>
              <a:noFill/>
            </a:ln>
            <a:effectLst/>
          </c:spPr>
          <c:invertIfNegative val="0"/>
          <c:cat>
            <c:strRef>
              <c:f>aged_AR_chart!$A$5:$A$8</c:f>
              <c:strCache>
                <c:ptCount val="3"/>
                <c:pt idx="0">
                  <c:v>Acme</c:v>
                </c:pt>
                <c:pt idx="1">
                  <c:v>Globex</c:v>
                </c:pt>
                <c:pt idx="2">
                  <c:v>Umbrella</c:v>
                </c:pt>
              </c:strCache>
            </c:strRef>
          </c:cat>
          <c:val>
            <c:numRef>
              <c:f>aged_AR_chart!$E$5:$E$8</c:f>
              <c:numCache>
                <c:formatCode>"€"\ #,##0.00</c:formatCode>
                <c:ptCount val="3"/>
                <c:pt idx="0">
                  <c:v>46642.11</c:v>
                </c:pt>
                <c:pt idx="1">
                  <c:v>41920.229999999989</c:v>
                </c:pt>
                <c:pt idx="2">
                  <c:v>61620.59</c:v>
                </c:pt>
              </c:numCache>
            </c:numRef>
          </c:val>
          <c:extLst>
            <c:ext xmlns:c16="http://schemas.microsoft.com/office/drawing/2014/chart" uri="{C3380CC4-5D6E-409C-BE32-E72D297353CC}">
              <c16:uniqueId val="{00000003-05C2-4872-A0A4-BF93672A7EBF}"/>
            </c:ext>
          </c:extLst>
        </c:ser>
        <c:ser>
          <c:idx val="4"/>
          <c:order val="4"/>
          <c:tx>
            <c:strRef>
              <c:f>aged_AR_chart!$F$3:$F$4</c:f>
              <c:strCache>
                <c:ptCount val="1"/>
                <c:pt idx="0">
                  <c:v>&gt;90</c:v>
                </c:pt>
              </c:strCache>
            </c:strRef>
          </c:tx>
          <c:spPr>
            <a:solidFill>
              <a:srgbClr val="D83636"/>
            </a:solidFill>
            <a:ln>
              <a:noFill/>
            </a:ln>
            <a:effectLst/>
          </c:spPr>
          <c:invertIfNegative val="0"/>
          <c:cat>
            <c:strRef>
              <c:f>aged_AR_chart!$A$5:$A$8</c:f>
              <c:strCache>
                <c:ptCount val="3"/>
                <c:pt idx="0">
                  <c:v>Acme</c:v>
                </c:pt>
                <c:pt idx="1">
                  <c:v>Globex</c:v>
                </c:pt>
                <c:pt idx="2">
                  <c:v>Umbrella</c:v>
                </c:pt>
              </c:strCache>
            </c:strRef>
          </c:cat>
          <c:val>
            <c:numRef>
              <c:f>aged_AR_chart!$F$5:$F$8</c:f>
              <c:numCache>
                <c:formatCode>"€"\ #,##0.00</c:formatCode>
                <c:ptCount val="3"/>
                <c:pt idx="0">
                  <c:v>215517.41</c:v>
                </c:pt>
                <c:pt idx="1">
                  <c:v>280473.53999999992</c:v>
                </c:pt>
                <c:pt idx="2">
                  <c:v>180971.86</c:v>
                </c:pt>
              </c:numCache>
            </c:numRef>
          </c:val>
          <c:extLst>
            <c:ext xmlns:c16="http://schemas.microsoft.com/office/drawing/2014/chart" uri="{C3380CC4-5D6E-409C-BE32-E72D297353CC}">
              <c16:uniqueId val="{00000004-05C2-4872-A0A4-BF93672A7EBF}"/>
            </c:ext>
          </c:extLst>
        </c:ser>
        <c:dLbls>
          <c:showLegendKey val="0"/>
          <c:showVal val="0"/>
          <c:showCatName val="0"/>
          <c:showSerName val="0"/>
          <c:showPercent val="0"/>
          <c:showBubbleSize val="0"/>
        </c:dLbls>
        <c:gapWidth val="100"/>
        <c:overlap val="100"/>
        <c:axId val="13490016"/>
        <c:axId val="13491936"/>
      </c:barChart>
      <c:catAx>
        <c:axId val="1349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3491936"/>
        <c:crosses val="autoZero"/>
        <c:auto val="1"/>
        <c:lblAlgn val="ctr"/>
        <c:lblOffset val="100"/>
        <c:noMultiLvlLbl val="0"/>
      </c:catAx>
      <c:valAx>
        <c:axId val="1349193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3490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L"/>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632460</xdr:colOff>
      <xdr:row>12</xdr:row>
      <xdr:rowOff>19050</xdr:rowOff>
    </xdr:from>
    <xdr:to>
      <xdr:col>11</xdr:col>
      <xdr:colOff>457200</xdr:colOff>
      <xdr:row>32</xdr:row>
      <xdr:rowOff>15240</xdr:rowOff>
    </xdr:to>
    <xdr:graphicFrame macro="">
      <xdr:nvGraphicFramePr>
        <xdr:cNvPr id="2" name="Chart 1">
          <a:extLst>
            <a:ext uri="{FF2B5EF4-FFF2-40B4-BE49-F238E27FC236}">
              <a16:creationId xmlns:a16="http://schemas.microsoft.com/office/drawing/2014/main" id="{9BFAB7FC-D22A-4E38-5283-1E3566285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830580</xdr:colOff>
      <xdr:row>12</xdr:row>
      <xdr:rowOff>22860</xdr:rowOff>
    </xdr:from>
    <xdr:to>
      <xdr:col>2</xdr:col>
      <xdr:colOff>571500</xdr:colOff>
      <xdr:row>25</xdr:row>
      <xdr:rowOff>112395</xdr:rowOff>
    </xdr:to>
    <mc:AlternateContent xmlns:mc="http://schemas.openxmlformats.org/markup-compatibility/2006">
      <mc:Choice xmlns:a14="http://schemas.microsoft.com/office/drawing/2010/main" Requires="a14">
        <xdr:graphicFrame macro="">
          <xdr:nvGraphicFramePr>
            <xdr:cNvPr id="3" name="customer">
              <a:extLst>
                <a:ext uri="{FF2B5EF4-FFF2-40B4-BE49-F238E27FC236}">
                  <a16:creationId xmlns:a16="http://schemas.microsoft.com/office/drawing/2014/main" id="{EDADCF38-EF20-6983-0BFB-3D7FB9B3B9AF}"/>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830580" y="2217420"/>
              <a:ext cx="1828800" cy="2466975"/>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rina Asri" refreshedDate="46056.460144328703" createdVersion="8" refreshedVersion="8" minRefreshableVersion="3" recordCount="599" xr:uid="{0866C90C-D8BF-4EF3-9442-0E6063DAA563}">
  <cacheSource type="worksheet">
    <worksheetSource name="AR_table"/>
  </cacheSource>
  <cacheFields count="7">
    <cacheField name="ar_id" numFmtId="0">
      <sharedItems/>
    </cacheField>
    <cacheField name="customer" numFmtId="0">
      <sharedItems count="5">
        <s v="Soylent"/>
        <s v="Umbrella"/>
        <s v="Initech"/>
        <s v="Globex"/>
        <s v="Acme"/>
      </sharedItems>
    </cacheField>
    <cacheField name="invoice_date" numFmtId="14">
      <sharedItems containsSemiMixedTypes="0" containsNonDate="0" containsDate="1" containsString="0" minDate="2025-01-01T00:00:00" maxDate="2026-06-30T00:00:00"/>
    </cacheField>
    <cacheField name="due_date" numFmtId="14">
      <sharedItems containsSemiMixedTypes="0" containsNonDate="0" containsDate="1" containsString="0" minDate="2025-02-12T00:00:00" maxDate="2026-08-11T00:00:00"/>
    </cacheField>
    <cacheField name="amount" numFmtId="166">
      <sharedItems containsSemiMixedTypes="0" containsString="0" containsNumber="1" minValue="200.4" maxValue="7996.24"/>
    </cacheField>
    <cacheField name="past_due_days" numFmtId="0">
      <sharedItems containsSemiMixedTypes="0" containsString="0" containsNumber="1" containsInteger="1" minValue="0" maxValue="255"/>
    </cacheField>
    <cacheField name="aging_category" numFmtId="0">
      <sharedItems count="5">
        <s v="&gt;90"/>
        <s v="Not due"/>
        <s v="31-60"/>
        <s v="1-31"/>
        <s v="61-90"/>
      </sharedItems>
    </cacheField>
  </cacheFields>
  <extLst>
    <ext xmlns:x14="http://schemas.microsoft.com/office/spreadsheetml/2009/9/main" uri="{725AE2AE-9491-48be-B2B4-4EB974FC3084}">
      <x14:pivotCacheDefinition pivotCacheId="1409448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9">
  <r>
    <s v="AR20000"/>
    <x v="0"/>
    <d v="2025-08-19T00:00:00"/>
    <d v="2025-09-30T00:00:00"/>
    <n v="6160.48"/>
    <n v="91"/>
    <x v="0"/>
  </r>
  <r>
    <s v="AR20001"/>
    <x v="1"/>
    <d v="2026-04-01T00:00:00"/>
    <d v="2026-05-13T00:00:00"/>
    <n v="995.04"/>
    <n v="0"/>
    <x v="1"/>
  </r>
  <r>
    <s v="AR20002"/>
    <x v="0"/>
    <d v="2025-12-25T00:00:00"/>
    <d v="2026-02-05T00:00:00"/>
    <n v="3936.29"/>
    <n v="0"/>
    <x v="1"/>
  </r>
  <r>
    <s v="AR20005"/>
    <x v="2"/>
    <d v="2025-05-29T00:00:00"/>
    <d v="2025-07-10T00:00:00"/>
    <n v="6985.23"/>
    <n v="149"/>
    <x v="0"/>
  </r>
  <r>
    <s v="AR20007"/>
    <x v="3"/>
    <d v="2025-11-03T00:00:00"/>
    <d v="2025-12-15T00:00:00"/>
    <n v="4099.3"/>
    <n v="37"/>
    <x v="2"/>
  </r>
  <r>
    <s v="AR20009"/>
    <x v="3"/>
    <d v="2025-12-11T00:00:00"/>
    <d v="2026-01-22T00:00:00"/>
    <n v="2670.06"/>
    <n v="9"/>
    <x v="3"/>
  </r>
  <r>
    <s v="AR20010"/>
    <x v="4"/>
    <d v="2025-08-25T00:00:00"/>
    <d v="2025-10-06T00:00:00"/>
    <n v="3602.98"/>
    <n v="87"/>
    <x v="4"/>
  </r>
  <r>
    <s v="AR20011"/>
    <x v="1"/>
    <d v="2025-12-05T00:00:00"/>
    <d v="2026-01-16T00:00:00"/>
    <n v="1107.56"/>
    <n v="13"/>
    <x v="3"/>
  </r>
  <r>
    <s v="AR20013"/>
    <x v="4"/>
    <d v="2026-03-04T00:00:00"/>
    <d v="2026-04-15T00:00:00"/>
    <n v="1209.22"/>
    <n v="0"/>
    <x v="1"/>
  </r>
  <r>
    <s v="AR20014"/>
    <x v="1"/>
    <d v="2025-04-29T00:00:00"/>
    <d v="2025-06-10T00:00:00"/>
    <n v="1688.61"/>
    <n v="171"/>
    <x v="0"/>
  </r>
  <r>
    <s v="AR20016"/>
    <x v="2"/>
    <d v="2026-05-16T00:00:00"/>
    <d v="2026-06-26T00:00:00"/>
    <n v="4357.75"/>
    <n v="0"/>
    <x v="1"/>
  </r>
  <r>
    <s v="AR20018"/>
    <x v="4"/>
    <d v="2025-04-09T00:00:00"/>
    <d v="2025-05-21T00:00:00"/>
    <n v="3074.66"/>
    <n v="185"/>
    <x v="0"/>
  </r>
  <r>
    <s v="AR20019"/>
    <x v="2"/>
    <d v="2025-05-08T00:00:00"/>
    <d v="2025-06-19T00:00:00"/>
    <n v="7987.42"/>
    <n v="164"/>
    <x v="0"/>
  </r>
  <r>
    <s v="AR20021"/>
    <x v="4"/>
    <d v="2025-07-08T00:00:00"/>
    <d v="2025-08-19T00:00:00"/>
    <n v="5384.07"/>
    <n v="121"/>
    <x v="0"/>
  </r>
  <r>
    <s v="AR20022"/>
    <x v="0"/>
    <d v="2025-07-14T00:00:00"/>
    <d v="2025-08-25T00:00:00"/>
    <n v="5931.01"/>
    <n v="117"/>
    <x v="0"/>
  </r>
  <r>
    <s v="AR20023"/>
    <x v="1"/>
    <d v="2025-09-04T00:00:00"/>
    <d v="2025-10-16T00:00:00"/>
    <n v="7959.18"/>
    <n v="79"/>
    <x v="4"/>
  </r>
  <r>
    <s v="AR20024"/>
    <x v="3"/>
    <d v="2025-07-08T00:00:00"/>
    <d v="2025-08-19T00:00:00"/>
    <n v="5981.13"/>
    <n v="121"/>
    <x v="0"/>
  </r>
  <r>
    <s v="AR20028"/>
    <x v="0"/>
    <d v="2025-06-10T00:00:00"/>
    <d v="2025-07-22T00:00:00"/>
    <n v="7898.89"/>
    <n v="141"/>
    <x v="0"/>
  </r>
  <r>
    <s v="AR20029"/>
    <x v="4"/>
    <d v="2025-09-11T00:00:00"/>
    <d v="2025-10-23T00:00:00"/>
    <n v="3210.82"/>
    <n v="74"/>
    <x v="4"/>
  </r>
  <r>
    <s v="AR20030"/>
    <x v="2"/>
    <d v="2025-05-15T00:00:00"/>
    <d v="2025-06-26T00:00:00"/>
    <n v="546.96"/>
    <n v="159"/>
    <x v="0"/>
  </r>
  <r>
    <s v="AR20032"/>
    <x v="4"/>
    <d v="2026-02-11T00:00:00"/>
    <d v="2026-03-25T00:00:00"/>
    <n v="7548.8"/>
    <n v="0"/>
    <x v="1"/>
  </r>
  <r>
    <s v="AR20033"/>
    <x v="0"/>
    <d v="2025-11-23T00:00:00"/>
    <d v="2026-01-02T00:00:00"/>
    <n v="634.25"/>
    <n v="23"/>
    <x v="3"/>
  </r>
  <r>
    <s v="AR20037"/>
    <x v="3"/>
    <d v="2025-12-16T00:00:00"/>
    <d v="2026-01-27T00:00:00"/>
    <n v="1711.81"/>
    <n v="6"/>
    <x v="3"/>
  </r>
  <r>
    <s v="AR20038"/>
    <x v="1"/>
    <d v="2025-10-31T00:00:00"/>
    <d v="2025-12-12T00:00:00"/>
    <n v="6942.78"/>
    <n v="38"/>
    <x v="2"/>
  </r>
  <r>
    <s v="AR20039"/>
    <x v="4"/>
    <d v="2025-08-05T00:00:00"/>
    <d v="2025-09-16T00:00:00"/>
    <n v="7098.74"/>
    <n v="101"/>
    <x v="0"/>
  </r>
  <r>
    <s v="AR20041"/>
    <x v="2"/>
    <d v="2025-10-13T00:00:00"/>
    <d v="2025-11-24T00:00:00"/>
    <n v="6438.74"/>
    <n v="52"/>
    <x v="2"/>
  </r>
  <r>
    <s v="AR20043"/>
    <x v="3"/>
    <d v="2025-07-02T00:00:00"/>
    <d v="2025-08-13T00:00:00"/>
    <n v="5121.3"/>
    <n v="125"/>
    <x v="0"/>
  </r>
  <r>
    <s v="AR20044"/>
    <x v="1"/>
    <d v="2026-04-07T00:00:00"/>
    <d v="2026-05-19T00:00:00"/>
    <n v="1325.15"/>
    <n v="0"/>
    <x v="1"/>
  </r>
  <r>
    <s v="AR20045"/>
    <x v="3"/>
    <d v="2025-11-08T00:00:00"/>
    <d v="2025-12-19T00:00:00"/>
    <n v="2200.8200000000002"/>
    <n v="33"/>
    <x v="2"/>
  </r>
  <r>
    <s v="AR20047"/>
    <x v="1"/>
    <d v="2025-07-01T00:00:00"/>
    <d v="2025-08-12T00:00:00"/>
    <n v="3180.12"/>
    <n v="126"/>
    <x v="0"/>
  </r>
  <r>
    <s v="AR20048"/>
    <x v="4"/>
    <d v="2026-03-13T00:00:00"/>
    <d v="2026-04-24T00:00:00"/>
    <n v="699.9"/>
    <n v="0"/>
    <x v="1"/>
  </r>
  <r>
    <s v="AR20049"/>
    <x v="2"/>
    <d v="2025-05-25T00:00:00"/>
    <d v="2025-07-04T00:00:00"/>
    <n v="498.51"/>
    <n v="153"/>
    <x v="0"/>
  </r>
  <r>
    <s v="AR20050"/>
    <x v="4"/>
    <d v="2025-03-22T00:00:00"/>
    <d v="2025-05-02T00:00:00"/>
    <n v="1578.97"/>
    <n v="198"/>
    <x v="0"/>
  </r>
  <r>
    <s v="AR20051"/>
    <x v="4"/>
    <d v="2026-01-17T00:00:00"/>
    <d v="2026-02-27T00:00:00"/>
    <n v="1246.19"/>
    <n v="0"/>
    <x v="1"/>
  </r>
  <r>
    <s v="AR20053"/>
    <x v="0"/>
    <d v="2026-04-09T00:00:00"/>
    <d v="2026-05-21T00:00:00"/>
    <n v="473.33"/>
    <n v="0"/>
    <x v="1"/>
  </r>
  <r>
    <s v="AR20054"/>
    <x v="0"/>
    <d v="2025-07-07T00:00:00"/>
    <d v="2025-08-18T00:00:00"/>
    <n v="5228.9399999999996"/>
    <n v="122"/>
    <x v="0"/>
  </r>
  <r>
    <s v="AR20055"/>
    <x v="0"/>
    <d v="2025-07-16T00:00:00"/>
    <d v="2025-08-27T00:00:00"/>
    <n v="3011.2"/>
    <n v="115"/>
    <x v="0"/>
  </r>
  <r>
    <s v="AR20056"/>
    <x v="4"/>
    <d v="2025-12-24T00:00:00"/>
    <d v="2026-02-04T00:00:00"/>
    <n v="4681.96"/>
    <n v="0"/>
    <x v="1"/>
  </r>
  <r>
    <s v="AR20058"/>
    <x v="1"/>
    <d v="2025-09-06T00:00:00"/>
    <d v="2025-10-17T00:00:00"/>
    <n v="4305.1099999999997"/>
    <n v="78"/>
    <x v="4"/>
  </r>
  <r>
    <s v="AR20060"/>
    <x v="4"/>
    <d v="2026-01-12T00:00:00"/>
    <d v="2026-02-23T00:00:00"/>
    <n v="7045.91"/>
    <n v="0"/>
    <x v="1"/>
  </r>
  <r>
    <s v="AR20061"/>
    <x v="4"/>
    <d v="2026-04-12T00:00:00"/>
    <d v="2026-05-22T00:00:00"/>
    <n v="425.01"/>
    <n v="0"/>
    <x v="1"/>
  </r>
  <r>
    <s v="AR20062"/>
    <x v="3"/>
    <d v="2025-10-20T00:00:00"/>
    <d v="2025-12-01T00:00:00"/>
    <n v="839.83"/>
    <n v="47"/>
    <x v="2"/>
  </r>
  <r>
    <s v="AR20063"/>
    <x v="2"/>
    <d v="2025-10-24T00:00:00"/>
    <d v="2025-12-05T00:00:00"/>
    <n v="997.56"/>
    <n v="43"/>
    <x v="2"/>
  </r>
  <r>
    <s v="AR20064"/>
    <x v="0"/>
    <d v="2025-08-14T00:00:00"/>
    <d v="2025-09-25T00:00:00"/>
    <n v="6142.65"/>
    <n v="94"/>
    <x v="0"/>
  </r>
  <r>
    <s v="AR20065"/>
    <x v="4"/>
    <d v="2026-03-23T00:00:00"/>
    <d v="2026-05-04T00:00:00"/>
    <n v="4402.5200000000004"/>
    <n v="0"/>
    <x v="1"/>
  </r>
  <r>
    <s v="AR20066"/>
    <x v="2"/>
    <d v="2025-07-10T00:00:00"/>
    <d v="2025-08-21T00:00:00"/>
    <n v="7809.98"/>
    <n v="119"/>
    <x v="0"/>
  </r>
  <r>
    <s v="AR20068"/>
    <x v="2"/>
    <d v="2025-02-03T00:00:00"/>
    <d v="2025-03-17T00:00:00"/>
    <n v="2946.05"/>
    <n v="232"/>
    <x v="0"/>
  </r>
  <r>
    <s v="AR20070"/>
    <x v="1"/>
    <d v="2025-01-30T00:00:00"/>
    <d v="2025-03-13T00:00:00"/>
    <n v="4822.1899999999996"/>
    <n v="234"/>
    <x v="0"/>
  </r>
  <r>
    <s v="AR20071"/>
    <x v="2"/>
    <d v="2025-02-03T00:00:00"/>
    <d v="2025-03-17T00:00:00"/>
    <n v="457.35"/>
    <n v="232"/>
    <x v="0"/>
  </r>
  <r>
    <s v="AR20072"/>
    <x v="2"/>
    <d v="2025-09-23T00:00:00"/>
    <d v="2025-11-04T00:00:00"/>
    <n v="2055.94"/>
    <n v="66"/>
    <x v="4"/>
  </r>
  <r>
    <s v="AR20073"/>
    <x v="3"/>
    <d v="2025-04-24T00:00:00"/>
    <d v="2025-06-05T00:00:00"/>
    <n v="6747.59"/>
    <n v="174"/>
    <x v="0"/>
  </r>
  <r>
    <s v="AR20074"/>
    <x v="2"/>
    <d v="2025-10-15T00:00:00"/>
    <d v="2025-11-26T00:00:00"/>
    <n v="3184.22"/>
    <n v="50"/>
    <x v="2"/>
  </r>
  <r>
    <s v="AR20076"/>
    <x v="0"/>
    <d v="2025-04-02T00:00:00"/>
    <d v="2025-05-14T00:00:00"/>
    <n v="6399.62"/>
    <n v="190"/>
    <x v="0"/>
  </r>
  <r>
    <s v="AR20077"/>
    <x v="0"/>
    <d v="2025-06-30T00:00:00"/>
    <d v="2025-08-11T00:00:00"/>
    <n v="775.03"/>
    <n v="127"/>
    <x v="0"/>
  </r>
  <r>
    <s v="AR20078"/>
    <x v="1"/>
    <d v="2025-09-27T00:00:00"/>
    <d v="2025-11-07T00:00:00"/>
    <n v="3847.51"/>
    <n v="63"/>
    <x v="4"/>
  </r>
  <r>
    <s v="AR20080"/>
    <x v="2"/>
    <d v="2026-06-14T00:00:00"/>
    <d v="2026-07-24T00:00:00"/>
    <n v="3736.92"/>
    <n v="0"/>
    <x v="1"/>
  </r>
  <r>
    <s v="AR20082"/>
    <x v="2"/>
    <d v="2025-08-07T00:00:00"/>
    <d v="2025-09-18T00:00:00"/>
    <n v="7325.37"/>
    <n v="99"/>
    <x v="0"/>
  </r>
  <r>
    <s v="AR20083"/>
    <x v="3"/>
    <d v="2025-07-24T00:00:00"/>
    <d v="2025-09-04T00:00:00"/>
    <n v="3958.69"/>
    <n v="109"/>
    <x v="0"/>
  </r>
  <r>
    <s v="AR20084"/>
    <x v="2"/>
    <d v="2025-06-21T00:00:00"/>
    <d v="2025-08-01T00:00:00"/>
    <n v="996.98"/>
    <n v="133"/>
    <x v="0"/>
  </r>
  <r>
    <s v="AR20085"/>
    <x v="2"/>
    <d v="2025-08-04T00:00:00"/>
    <d v="2025-09-15T00:00:00"/>
    <n v="5165.8999999999996"/>
    <n v="102"/>
    <x v="0"/>
  </r>
  <r>
    <s v="AR20086"/>
    <x v="2"/>
    <d v="2025-07-12T00:00:00"/>
    <d v="2025-08-22T00:00:00"/>
    <n v="6048.66"/>
    <n v="118"/>
    <x v="0"/>
  </r>
  <r>
    <s v="AR20088"/>
    <x v="2"/>
    <d v="2025-03-29T00:00:00"/>
    <d v="2025-05-09T00:00:00"/>
    <n v="7578.16"/>
    <n v="193"/>
    <x v="0"/>
  </r>
  <r>
    <s v="AR20089"/>
    <x v="1"/>
    <d v="2025-05-16T00:00:00"/>
    <d v="2025-06-27T00:00:00"/>
    <n v="2123.65"/>
    <n v="158"/>
    <x v="0"/>
  </r>
  <r>
    <s v="AR20091"/>
    <x v="0"/>
    <d v="2026-01-08T00:00:00"/>
    <d v="2026-02-19T00:00:00"/>
    <n v="3764.75"/>
    <n v="0"/>
    <x v="1"/>
  </r>
  <r>
    <s v="AR20092"/>
    <x v="3"/>
    <d v="2026-03-25T00:00:00"/>
    <d v="2026-05-06T00:00:00"/>
    <n v="820.19"/>
    <n v="0"/>
    <x v="1"/>
  </r>
  <r>
    <s v="AR20095"/>
    <x v="3"/>
    <d v="2025-10-18T00:00:00"/>
    <d v="2025-11-28T00:00:00"/>
    <n v="2445.4899999999998"/>
    <n v="48"/>
    <x v="2"/>
  </r>
  <r>
    <s v="AR20096"/>
    <x v="2"/>
    <d v="2025-12-13T00:00:00"/>
    <d v="2026-01-23T00:00:00"/>
    <n v="1998.78"/>
    <n v="8"/>
    <x v="3"/>
  </r>
  <r>
    <s v="AR20097"/>
    <x v="1"/>
    <d v="2025-12-25T00:00:00"/>
    <d v="2026-02-05T00:00:00"/>
    <n v="3998.83"/>
    <n v="0"/>
    <x v="1"/>
  </r>
  <r>
    <s v="AR20098"/>
    <x v="2"/>
    <d v="2025-08-05T00:00:00"/>
    <d v="2025-09-16T00:00:00"/>
    <n v="7583.72"/>
    <n v="101"/>
    <x v="0"/>
  </r>
  <r>
    <s v="AR20099"/>
    <x v="3"/>
    <d v="2025-04-01T00:00:00"/>
    <d v="2025-05-13T00:00:00"/>
    <n v="962.46"/>
    <n v="191"/>
    <x v="0"/>
  </r>
  <r>
    <s v="AR20100"/>
    <x v="4"/>
    <d v="2025-03-24T00:00:00"/>
    <d v="2025-05-05T00:00:00"/>
    <n v="2924.69"/>
    <n v="197"/>
    <x v="0"/>
  </r>
  <r>
    <s v="AR20101"/>
    <x v="4"/>
    <d v="2025-09-20T00:00:00"/>
    <d v="2025-10-31T00:00:00"/>
    <n v="4442.67"/>
    <n v="68"/>
    <x v="4"/>
  </r>
  <r>
    <s v="AR20103"/>
    <x v="4"/>
    <d v="2025-01-24T00:00:00"/>
    <d v="2025-03-07T00:00:00"/>
    <n v="779.56"/>
    <n v="238"/>
    <x v="0"/>
  </r>
  <r>
    <s v="AR20104"/>
    <x v="0"/>
    <d v="2025-11-14T00:00:00"/>
    <d v="2025-12-26T00:00:00"/>
    <n v="546.16"/>
    <n v="28"/>
    <x v="3"/>
  </r>
  <r>
    <s v="AR20105"/>
    <x v="3"/>
    <d v="2025-09-18T00:00:00"/>
    <d v="2025-10-30T00:00:00"/>
    <n v="7954.05"/>
    <n v="69"/>
    <x v="4"/>
  </r>
  <r>
    <s v="AR20106"/>
    <x v="1"/>
    <d v="2025-09-08T00:00:00"/>
    <d v="2025-10-20T00:00:00"/>
    <n v="3639.68"/>
    <n v="77"/>
    <x v="4"/>
  </r>
  <r>
    <s v="AR20107"/>
    <x v="3"/>
    <d v="2026-06-23T00:00:00"/>
    <d v="2026-08-04T00:00:00"/>
    <n v="7625.21"/>
    <n v="0"/>
    <x v="1"/>
  </r>
  <r>
    <s v="AR20108"/>
    <x v="3"/>
    <d v="2025-03-07T00:00:00"/>
    <d v="2025-04-18T00:00:00"/>
    <n v="1585.28"/>
    <n v="208"/>
    <x v="0"/>
  </r>
  <r>
    <s v="AR20109"/>
    <x v="2"/>
    <d v="2025-10-25T00:00:00"/>
    <d v="2025-12-05T00:00:00"/>
    <n v="839.17"/>
    <n v="43"/>
    <x v="2"/>
  </r>
  <r>
    <s v="AR20110"/>
    <x v="4"/>
    <d v="2026-02-16T00:00:00"/>
    <d v="2026-03-30T00:00:00"/>
    <n v="3881.62"/>
    <n v="0"/>
    <x v="1"/>
  </r>
  <r>
    <s v="AR20111"/>
    <x v="4"/>
    <d v="2025-07-06T00:00:00"/>
    <d v="2025-08-15T00:00:00"/>
    <n v="7797.4"/>
    <n v="123"/>
    <x v="0"/>
  </r>
  <r>
    <s v="AR20113"/>
    <x v="1"/>
    <d v="2025-02-08T00:00:00"/>
    <d v="2025-03-21T00:00:00"/>
    <n v="2014.85"/>
    <n v="228"/>
    <x v="0"/>
  </r>
  <r>
    <s v="AR20114"/>
    <x v="3"/>
    <d v="2025-12-04T00:00:00"/>
    <d v="2026-01-15T00:00:00"/>
    <n v="4892.3500000000004"/>
    <n v="14"/>
    <x v="3"/>
  </r>
  <r>
    <s v="AR20115"/>
    <x v="4"/>
    <d v="2026-05-31T00:00:00"/>
    <d v="2026-07-10T00:00:00"/>
    <n v="4299.43"/>
    <n v="0"/>
    <x v="1"/>
  </r>
  <r>
    <s v="AR20116"/>
    <x v="2"/>
    <d v="2025-06-12T00:00:00"/>
    <d v="2025-07-24T00:00:00"/>
    <n v="5721"/>
    <n v="139"/>
    <x v="0"/>
  </r>
  <r>
    <s v="AR20117"/>
    <x v="1"/>
    <d v="2025-09-15T00:00:00"/>
    <d v="2025-10-27T00:00:00"/>
    <n v="7503.51"/>
    <n v="72"/>
    <x v="4"/>
  </r>
  <r>
    <s v="AR20120"/>
    <x v="4"/>
    <d v="2026-04-11T00:00:00"/>
    <d v="2026-05-22T00:00:00"/>
    <n v="3411.27"/>
    <n v="0"/>
    <x v="1"/>
  </r>
  <r>
    <s v="AR20121"/>
    <x v="2"/>
    <d v="2026-01-21T00:00:00"/>
    <d v="2026-03-04T00:00:00"/>
    <n v="785.47"/>
    <n v="0"/>
    <x v="1"/>
  </r>
  <r>
    <s v="AR20122"/>
    <x v="3"/>
    <d v="2025-03-19T00:00:00"/>
    <d v="2025-04-30T00:00:00"/>
    <n v="1451.37"/>
    <n v="200"/>
    <x v="0"/>
  </r>
  <r>
    <s v="AR20124"/>
    <x v="2"/>
    <d v="2025-02-20T00:00:00"/>
    <d v="2025-04-03T00:00:00"/>
    <n v="1416.74"/>
    <n v="219"/>
    <x v="0"/>
  </r>
  <r>
    <s v="AR20126"/>
    <x v="3"/>
    <d v="2025-07-28T00:00:00"/>
    <d v="2025-09-08T00:00:00"/>
    <n v="5239.3"/>
    <n v="107"/>
    <x v="0"/>
  </r>
  <r>
    <s v="AR20127"/>
    <x v="1"/>
    <d v="2025-03-12T00:00:00"/>
    <d v="2025-04-23T00:00:00"/>
    <n v="5141.1899999999996"/>
    <n v="205"/>
    <x v="0"/>
  </r>
  <r>
    <s v="AR20129"/>
    <x v="3"/>
    <d v="2025-10-30T00:00:00"/>
    <d v="2025-12-11T00:00:00"/>
    <n v="6909.77"/>
    <n v="39"/>
    <x v="2"/>
  </r>
  <r>
    <s v="AR20131"/>
    <x v="1"/>
    <d v="2025-09-25T00:00:00"/>
    <d v="2025-11-06T00:00:00"/>
    <n v="3944.66"/>
    <n v="64"/>
    <x v="4"/>
  </r>
  <r>
    <s v="AR20134"/>
    <x v="2"/>
    <d v="2025-10-31T00:00:00"/>
    <d v="2025-12-12T00:00:00"/>
    <n v="1009.43"/>
    <n v="38"/>
    <x v="2"/>
  </r>
  <r>
    <s v="AR20137"/>
    <x v="4"/>
    <d v="2026-03-29T00:00:00"/>
    <d v="2026-05-08T00:00:00"/>
    <n v="1115.26"/>
    <n v="0"/>
    <x v="1"/>
  </r>
  <r>
    <s v="AR20139"/>
    <x v="4"/>
    <d v="2025-09-17T00:00:00"/>
    <d v="2025-10-29T00:00:00"/>
    <n v="2786.7"/>
    <n v="70"/>
    <x v="4"/>
  </r>
  <r>
    <s v="AR20140"/>
    <x v="0"/>
    <d v="2026-06-13T00:00:00"/>
    <d v="2026-07-24T00:00:00"/>
    <n v="4407.9399999999996"/>
    <n v="0"/>
    <x v="1"/>
  </r>
  <r>
    <s v="AR20141"/>
    <x v="0"/>
    <d v="2025-10-22T00:00:00"/>
    <d v="2025-12-03T00:00:00"/>
    <n v="4894.13"/>
    <n v="45"/>
    <x v="2"/>
  </r>
  <r>
    <s v="AR20142"/>
    <x v="4"/>
    <d v="2026-05-10T00:00:00"/>
    <d v="2026-06-19T00:00:00"/>
    <n v="6832.48"/>
    <n v="0"/>
    <x v="1"/>
  </r>
  <r>
    <s v="AR20143"/>
    <x v="0"/>
    <d v="2025-09-04T00:00:00"/>
    <d v="2025-10-16T00:00:00"/>
    <n v="2060.19"/>
    <n v="79"/>
    <x v="4"/>
  </r>
  <r>
    <s v="AR20144"/>
    <x v="3"/>
    <d v="2026-04-17T00:00:00"/>
    <d v="2026-05-29T00:00:00"/>
    <n v="6302.98"/>
    <n v="0"/>
    <x v="1"/>
  </r>
  <r>
    <s v="AR20145"/>
    <x v="3"/>
    <d v="2025-08-11T00:00:00"/>
    <d v="2025-09-22T00:00:00"/>
    <n v="6748"/>
    <n v="97"/>
    <x v="0"/>
  </r>
  <r>
    <s v="AR20146"/>
    <x v="2"/>
    <d v="2025-10-14T00:00:00"/>
    <d v="2025-11-25T00:00:00"/>
    <n v="7996.24"/>
    <n v="51"/>
    <x v="2"/>
  </r>
  <r>
    <s v="AR20148"/>
    <x v="0"/>
    <d v="2026-04-03T00:00:00"/>
    <d v="2026-05-15T00:00:00"/>
    <n v="6175.65"/>
    <n v="0"/>
    <x v="1"/>
  </r>
  <r>
    <s v="AR20149"/>
    <x v="2"/>
    <d v="2025-09-11T00:00:00"/>
    <d v="2025-10-23T00:00:00"/>
    <n v="1636.23"/>
    <n v="74"/>
    <x v="4"/>
  </r>
  <r>
    <s v="AR20151"/>
    <x v="2"/>
    <d v="2025-06-14T00:00:00"/>
    <d v="2025-07-25T00:00:00"/>
    <n v="1194.4100000000001"/>
    <n v="138"/>
    <x v="0"/>
  </r>
  <r>
    <s v="AR20153"/>
    <x v="4"/>
    <d v="2025-12-01T00:00:00"/>
    <d v="2026-01-12T00:00:00"/>
    <n v="426.96"/>
    <n v="17"/>
    <x v="3"/>
  </r>
  <r>
    <s v="AR20154"/>
    <x v="3"/>
    <d v="2026-05-07T00:00:00"/>
    <d v="2026-06-18T00:00:00"/>
    <n v="3349.63"/>
    <n v="0"/>
    <x v="1"/>
  </r>
  <r>
    <s v="AR20156"/>
    <x v="3"/>
    <d v="2025-05-03T00:00:00"/>
    <d v="2025-06-13T00:00:00"/>
    <n v="3681.26"/>
    <n v="168"/>
    <x v="0"/>
  </r>
  <r>
    <s v="AR20158"/>
    <x v="1"/>
    <d v="2026-02-06T00:00:00"/>
    <d v="2026-03-20T00:00:00"/>
    <n v="6512.91"/>
    <n v="0"/>
    <x v="1"/>
  </r>
  <r>
    <s v="AR20159"/>
    <x v="4"/>
    <d v="2025-12-10T00:00:00"/>
    <d v="2026-01-21T00:00:00"/>
    <n v="5880.66"/>
    <n v="10"/>
    <x v="3"/>
  </r>
  <r>
    <s v="AR20160"/>
    <x v="1"/>
    <d v="2026-02-26T00:00:00"/>
    <d v="2026-04-09T00:00:00"/>
    <n v="6131.33"/>
    <n v="0"/>
    <x v="1"/>
  </r>
  <r>
    <s v="AR20161"/>
    <x v="3"/>
    <d v="2025-02-20T00:00:00"/>
    <d v="2025-04-03T00:00:00"/>
    <n v="5140.8500000000004"/>
    <n v="219"/>
    <x v="0"/>
  </r>
  <r>
    <s v="AR20165"/>
    <x v="2"/>
    <d v="2025-09-28T00:00:00"/>
    <d v="2025-11-07T00:00:00"/>
    <n v="2799.03"/>
    <n v="63"/>
    <x v="4"/>
  </r>
  <r>
    <s v="AR20166"/>
    <x v="4"/>
    <d v="2025-07-26T00:00:00"/>
    <d v="2025-09-05T00:00:00"/>
    <n v="6835.74"/>
    <n v="108"/>
    <x v="0"/>
  </r>
  <r>
    <s v="AR20167"/>
    <x v="1"/>
    <d v="2026-05-10T00:00:00"/>
    <d v="2026-06-19T00:00:00"/>
    <n v="6160.95"/>
    <n v="0"/>
    <x v="1"/>
  </r>
  <r>
    <s v="AR20170"/>
    <x v="3"/>
    <d v="2025-03-03T00:00:00"/>
    <d v="2025-04-14T00:00:00"/>
    <n v="2426.38"/>
    <n v="212"/>
    <x v="0"/>
  </r>
  <r>
    <s v="AR20173"/>
    <x v="3"/>
    <d v="2025-01-02T00:00:00"/>
    <d v="2025-02-13T00:00:00"/>
    <n v="895.39"/>
    <n v="254"/>
    <x v="0"/>
  </r>
  <r>
    <s v="AR20174"/>
    <x v="3"/>
    <d v="2026-04-05T00:00:00"/>
    <d v="2026-05-15T00:00:00"/>
    <n v="1425.44"/>
    <n v="0"/>
    <x v="1"/>
  </r>
  <r>
    <s v="AR20175"/>
    <x v="4"/>
    <d v="2026-02-09T00:00:00"/>
    <d v="2026-03-23T00:00:00"/>
    <n v="7615.32"/>
    <n v="0"/>
    <x v="1"/>
  </r>
  <r>
    <s v="AR20176"/>
    <x v="1"/>
    <d v="2025-06-18T00:00:00"/>
    <d v="2025-07-30T00:00:00"/>
    <n v="5139.07"/>
    <n v="135"/>
    <x v="0"/>
  </r>
  <r>
    <s v="AR20177"/>
    <x v="0"/>
    <d v="2025-10-12T00:00:00"/>
    <d v="2025-11-21T00:00:00"/>
    <n v="5167.68"/>
    <n v="53"/>
    <x v="2"/>
  </r>
  <r>
    <s v="AR20178"/>
    <x v="3"/>
    <d v="2025-08-06T00:00:00"/>
    <d v="2025-09-17T00:00:00"/>
    <n v="3033.26"/>
    <n v="100"/>
    <x v="0"/>
  </r>
  <r>
    <s v="AR20181"/>
    <x v="3"/>
    <d v="2025-11-09T00:00:00"/>
    <d v="2025-12-19T00:00:00"/>
    <n v="4360.84"/>
    <n v="33"/>
    <x v="2"/>
  </r>
  <r>
    <s v="AR20182"/>
    <x v="2"/>
    <d v="2025-03-22T00:00:00"/>
    <d v="2025-05-02T00:00:00"/>
    <n v="3594.45"/>
    <n v="198"/>
    <x v="0"/>
  </r>
  <r>
    <s v="AR20183"/>
    <x v="2"/>
    <d v="2026-01-26T00:00:00"/>
    <d v="2026-03-09T00:00:00"/>
    <n v="532.94000000000005"/>
    <n v="0"/>
    <x v="1"/>
  </r>
  <r>
    <s v="AR20184"/>
    <x v="4"/>
    <d v="2025-06-05T00:00:00"/>
    <d v="2025-07-17T00:00:00"/>
    <n v="3313.6"/>
    <n v="144"/>
    <x v="0"/>
  </r>
  <r>
    <s v="AR20185"/>
    <x v="4"/>
    <d v="2025-09-02T00:00:00"/>
    <d v="2025-10-14T00:00:00"/>
    <n v="1217.21"/>
    <n v="81"/>
    <x v="4"/>
  </r>
  <r>
    <s v="AR20186"/>
    <x v="0"/>
    <d v="2025-02-05T00:00:00"/>
    <d v="2025-03-19T00:00:00"/>
    <n v="2638.46"/>
    <n v="230"/>
    <x v="0"/>
  </r>
  <r>
    <s v="AR20187"/>
    <x v="4"/>
    <d v="2025-03-22T00:00:00"/>
    <d v="2025-05-02T00:00:00"/>
    <n v="1769.81"/>
    <n v="198"/>
    <x v="0"/>
  </r>
  <r>
    <s v="AR20188"/>
    <x v="1"/>
    <d v="2026-03-12T00:00:00"/>
    <d v="2026-04-23T00:00:00"/>
    <n v="358"/>
    <n v="0"/>
    <x v="1"/>
  </r>
  <r>
    <s v="AR20189"/>
    <x v="3"/>
    <d v="2025-06-10T00:00:00"/>
    <d v="2025-07-22T00:00:00"/>
    <n v="6116.96"/>
    <n v="141"/>
    <x v="0"/>
  </r>
  <r>
    <s v="AR20192"/>
    <x v="1"/>
    <d v="2025-03-21T00:00:00"/>
    <d v="2025-05-02T00:00:00"/>
    <n v="4500.46"/>
    <n v="198"/>
    <x v="0"/>
  </r>
  <r>
    <s v="AR20193"/>
    <x v="4"/>
    <d v="2025-09-20T00:00:00"/>
    <d v="2025-10-31T00:00:00"/>
    <n v="5401.26"/>
    <n v="68"/>
    <x v="4"/>
  </r>
  <r>
    <s v="AR20196"/>
    <x v="0"/>
    <d v="2026-04-11T00:00:00"/>
    <d v="2026-05-22T00:00:00"/>
    <n v="1321.36"/>
    <n v="0"/>
    <x v="1"/>
  </r>
  <r>
    <s v="AR20198"/>
    <x v="0"/>
    <d v="2025-06-04T00:00:00"/>
    <d v="2025-07-16T00:00:00"/>
    <n v="1910.09"/>
    <n v="145"/>
    <x v="0"/>
  </r>
  <r>
    <s v="AR20199"/>
    <x v="2"/>
    <d v="2025-02-18T00:00:00"/>
    <d v="2025-04-01T00:00:00"/>
    <n v="1732.73"/>
    <n v="221"/>
    <x v="0"/>
  </r>
  <r>
    <s v="AR20200"/>
    <x v="4"/>
    <d v="2025-11-05T00:00:00"/>
    <d v="2025-12-17T00:00:00"/>
    <n v="7442.79"/>
    <n v="35"/>
    <x v="2"/>
  </r>
  <r>
    <s v="AR20201"/>
    <x v="1"/>
    <d v="2026-06-06T00:00:00"/>
    <d v="2026-07-17T00:00:00"/>
    <n v="7828.34"/>
    <n v="0"/>
    <x v="1"/>
  </r>
  <r>
    <s v="AR20202"/>
    <x v="3"/>
    <d v="2025-01-01T00:00:00"/>
    <d v="2025-02-12T00:00:00"/>
    <n v="3603.21"/>
    <n v="255"/>
    <x v="0"/>
  </r>
  <r>
    <s v="AR20205"/>
    <x v="2"/>
    <d v="2025-01-22T00:00:00"/>
    <d v="2025-03-05T00:00:00"/>
    <n v="4742.33"/>
    <n v="240"/>
    <x v="0"/>
  </r>
  <r>
    <s v="AR20206"/>
    <x v="1"/>
    <d v="2026-02-07T00:00:00"/>
    <d v="2026-03-20T00:00:00"/>
    <n v="5745.4"/>
    <n v="0"/>
    <x v="1"/>
  </r>
  <r>
    <s v="AR20207"/>
    <x v="2"/>
    <d v="2025-07-18T00:00:00"/>
    <d v="2025-08-29T00:00:00"/>
    <n v="6440.55"/>
    <n v="113"/>
    <x v="0"/>
  </r>
  <r>
    <s v="AR20209"/>
    <x v="3"/>
    <d v="2026-05-08T00:00:00"/>
    <d v="2026-06-19T00:00:00"/>
    <n v="3067.69"/>
    <n v="0"/>
    <x v="1"/>
  </r>
  <r>
    <s v="AR20210"/>
    <x v="4"/>
    <d v="2025-06-14T00:00:00"/>
    <d v="2025-07-25T00:00:00"/>
    <n v="3030.85"/>
    <n v="138"/>
    <x v="0"/>
  </r>
  <r>
    <s v="AR20213"/>
    <x v="2"/>
    <d v="2025-04-22T00:00:00"/>
    <d v="2025-06-03T00:00:00"/>
    <n v="6545.56"/>
    <n v="176"/>
    <x v="0"/>
  </r>
  <r>
    <s v="AR20214"/>
    <x v="4"/>
    <d v="2025-11-16T00:00:00"/>
    <d v="2025-12-26T00:00:00"/>
    <n v="4888.93"/>
    <n v="28"/>
    <x v="3"/>
  </r>
  <r>
    <s v="AR20217"/>
    <x v="2"/>
    <d v="2025-03-27T00:00:00"/>
    <d v="2025-05-08T00:00:00"/>
    <n v="3415.75"/>
    <n v="194"/>
    <x v="0"/>
  </r>
  <r>
    <s v="AR20220"/>
    <x v="0"/>
    <d v="2025-01-17T00:00:00"/>
    <d v="2025-02-28T00:00:00"/>
    <n v="7943.83"/>
    <n v="243"/>
    <x v="0"/>
  </r>
  <r>
    <s v="AR20221"/>
    <x v="2"/>
    <d v="2025-09-24T00:00:00"/>
    <d v="2025-11-05T00:00:00"/>
    <n v="247.4"/>
    <n v="65"/>
    <x v="4"/>
  </r>
  <r>
    <s v="AR20222"/>
    <x v="2"/>
    <d v="2025-09-27T00:00:00"/>
    <d v="2025-11-07T00:00:00"/>
    <n v="1967.78"/>
    <n v="63"/>
    <x v="4"/>
  </r>
  <r>
    <s v="AR20223"/>
    <x v="0"/>
    <d v="2025-09-09T00:00:00"/>
    <d v="2025-10-21T00:00:00"/>
    <n v="7603.86"/>
    <n v="76"/>
    <x v="4"/>
  </r>
  <r>
    <s v="AR20224"/>
    <x v="3"/>
    <d v="2025-08-11T00:00:00"/>
    <d v="2025-09-22T00:00:00"/>
    <n v="7290.34"/>
    <n v="97"/>
    <x v="0"/>
  </r>
  <r>
    <s v="AR20225"/>
    <x v="2"/>
    <d v="2025-07-04T00:00:00"/>
    <d v="2025-08-15T00:00:00"/>
    <n v="2291.87"/>
    <n v="123"/>
    <x v="0"/>
  </r>
  <r>
    <s v="AR20226"/>
    <x v="3"/>
    <d v="2025-03-27T00:00:00"/>
    <d v="2025-05-08T00:00:00"/>
    <n v="2360.7199999999998"/>
    <n v="194"/>
    <x v="0"/>
  </r>
  <r>
    <s v="AR20227"/>
    <x v="2"/>
    <d v="2025-05-26T00:00:00"/>
    <d v="2025-07-07T00:00:00"/>
    <n v="673.24"/>
    <n v="152"/>
    <x v="0"/>
  </r>
  <r>
    <s v="AR20250"/>
    <x v="1"/>
    <d v="2025-02-25T00:00:00"/>
    <d v="2025-04-08T00:00:00"/>
    <n v="3221.68"/>
    <n v="216"/>
    <x v="0"/>
  </r>
  <r>
    <s v="AR20254"/>
    <x v="2"/>
    <d v="2026-05-20T00:00:00"/>
    <d v="2026-07-01T00:00:00"/>
    <n v="3317.09"/>
    <n v="0"/>
    <x v="1"/>
  </r>
  <r>
    <s v="AR20255"/>
    <x v="1"/>
    <d v="2025-03-28T00:00:00"/>
    <d v="2025-05-09T00:00:00"/>
    <n v="3325.12"/>
    <n v="193"/>
    <x v="0"/>
  </r>
  <r>
    <s v="AR20256"/>
    <x v="2"/>
    <d v="2026-02-19T00:00:00"/>
    <d v="2026-04-02T00:00:00"/>
    <n v="4585.18"/>
    <n v="0"/>
    <x v="1"/>
  </r>
  <r>
    <s v="AR20258"/>
    <x v="4"/>
    <d v="2025-06-12T00:00:00"/>
    <d v="2025-07-24T00:00:00"/>
    <n v="1165.07"/>
    <n v="139"/>
    <x v="0"/>
  </r>
  <r>
    <s v="AR20250"/>
    <x v="4"/>
    <d v="2025-04-22T00:00:00"/>
    <d v="2025-06-03T00:00:00"/>
    <n v="1188.28"/>
    <n v="176"/>
    <x v="0"/>
  </r>
  <r>
    <s v="AR20254"/>
    <x v="3"/>
    <d v="2026-02-13T00:00:00"/>
    <d v="2026-03-27T00:00:00"/>
    <n v="534.33000000000004"/>
    <n v="0"/>
    <x v="1"/>
  </r>
  <r>
    <s v="AR20255"/>
    <x v="0"/>
    <d v="2025-07-04T00:00:00"/>
    <d v="2025-08-15T00:00:00"/>
    <n v="575.11"/>
    <n v="123"/>
    <x v="0"/>
  </r>
  <r>
    <s v="AR20256"/>
    <x v="3"/>
    <d v="2025-05-01T00:00:00"/>
    <d v="2025-06-12T00:00:00"/>
    <n v="7672.85"/>
    <n v="169"/>
    <x v="0"/>
  </r>
  <r>
    <s v="AR20257"/>
    <x v="4"/>
    <d v="2025-02-24T00:00:00"/>
    <d v="2025-04-07T00:00:00"/>
    <n v="4254.22"/>
    <n v="217"/>
    <x v="0"/>
  </r>
  <r>
    <s v="AR20259"/>
    <x v="2"/>
    <d v="2025-02-19T00:00:00"/>
    <d v="2025-04-02T00:00:00"/>
    <n v="2757.32"/>
    <n v="220"/>
    <x v="0"/>
  </r>
  <r>
    <s v="AR20260"/>
    <x v="1"/>
    <d v="2025-05-07T00:00:00"/>
    <d v="2025-06-18T00:00:00"/>
    <n v="5389.32"/>
    <n v="165"/>
    <x v="0"/>
  </r>
  <r>
    <s v="AR20261"/>
    <x v="2"/>
    <d v="2025-01-19T00:00:00"/>
    <d v="2025-02-28T00:00:00"/>
    <n v="7153.34"/>
    <n v="243"/>
    <x v="0"/>
  </r>
  <r>
    <s v="AR20263"/>
    <x v="4"/>
    <d v="2025-02-02T00:00:00"/>
    <d v="2025-03-14T00:00:00"/>
    <n v="4484.3999999999996"/>
    <n v="233"/>
    <x v="0"/>
  </r>
  <r>
    <s v="AR20264"/>
    <x v="1"/>
    <d v="2026-03-05T00:00:00"/>
    <d v="2026-04-16T00:00:00"/>
    <n v="2276.46"/>
    <n v="0"/>
    <x v="1"/>
  </r>
  <r>
    <s v="AR20265"/>
    <x v="1"/>
    <d v="2025-09-23T00:00:00"/>
    <d v="2025-11-04T00:00:00"/>
    <n v="3306.6"/>
    <n v="66"/>
    <x v="4"/>
  </r>
  <r>
    <s v="AR20266"/>
    <x v="2"/>
    <d v="2025-11-21T00:00:00"/>
    <d v="2026-01-02T00:00:00"/>
    <n v="4927.67"/>
    <n v="23"/>
    <x v="3"/>
  </r>
  <r>
    <s v="AR20267"/>
    <x v="2"/>
    <d v="2025-06-02T00:00:00"/>
    <d v="2025-07-14T00:00:00"/>
    <n v="3912.57"/>
    <n v="147"/>
    <x v="0"/>
  </r>
  <r>
    <s v="AR20269"/>
    <x v="0"/>
    <d v="2025-05-26T00:00:00"/>
    <d v="2025-07-07T00:00:00"/>
    <n v="4441.37"/>
    <n v="152"/>
    <x v="0"/>
  </r>
  <r>
    <s v="AR20262"/>
    <x v="0"/>
    <d v="2026-06-03T00:00:00"/>
    <d v="2026-07-15T00:00:00"/>
    <n v="7296"/>
    <n v="0"/>
    <x v="1"/>
  </r>
  <r>
    <s v="AR20263"/>
    <x v="1"/>
    <d v="2025-10-10T00:00:00"/>
    <d v="2025-11-21T00:00:00"/>
    <n v="2844.85"/>
    <n v="53"/>
    <x v="2"/>
  </r>
  <r>
    <s v="AR20264"/>
    <x v="0"/>
    <d v="2025-02-18T00:00:00"/>
    <d v="2025-04-01T00:00:00"/>
    <n v="3336.12"/>
    <n v="221"/>
    <x v="0"/>
  </r>
  <r>
    <s v="AR20265"/>
    <x v="0"/>
    <d v="2025-09-12T00:00:00"/>
    <d v="2025-10-24T00:00:00"/>
    <n v="5108.9399999999996"/>
    <n v="73"/>
    <x v="4"/>
  </r>
  <r>
    <s v="AR20266"/>
    <x v="0"/>
    <d v="2025-02-08T00:00:00"/>
    <d v="2025-03-21T00:00:00"/>
    <n v="3254.83"/>
    <n v="228"/>
    <x v="0"/>
  </r>
  <r>
    <s v="AR20268"/>
    <x v="0"/>
    <d v="2026-01-23T00:00:00"/>
    <d v="2026-03-06T00:00:00"/>
    <n v="1049.32"/>
    <n v="0"/>
    <x v="1"/>
  </r>
  <r>
    <s v="AR20270"/>
    <x v="3"/>
    <d v="2025-12-23T00:00:00"/>
    <d v="2026-02-03T00:00:00"/>
    <n v="7185.54"/>
    <n v="0"/>
    <x v="1"/>
  </r>
  <r>
    <s v="AR20271"/>
    <x v="3"/>
    <d v="2025-02-16T00:00:00"/>
    <d v="2025-03-28T00:00:00"/>
    <n v="1472.13"/>
    <n v="223"/>
    <x v="0"/>
  </r>
  <r>
    <s v="AR20272"/>
    <x v="2"/>
    <d v="2025-04-28T00:00:00"/>
    <d v="2025-06-09T00:00:00"/>
    <n v="5363.52"/>
    <n v="172"/>
    <x v="0"/>
  </r>
  <r>
    <s v="AR20273"/>
    <x v="1"/>
    <d v="2025-12-05T00:00:00"/>
    <d v="2026-01-16T00:00:00"/>
    <n v="3298.99"/>
    <n v="13"/>
    <x v="3"/>
  </r>
  <r>
    <s v="AR20274"/>
    <x v="0"/>
    <d v="2026-06-23T00:00:00"/>
    <d v="2026-08-04T00:00:00"/>
    <n v="7176.07"/>
    <n v="0"/>
    <x v="1"/>
  </r>
  <r>
    <s v="AR20277"/>
    <x v="1"/>
    <d v="2025-12-11T00:00:00"/>
    <d v="2026-01-22T00:00:00"/>
    <n v="618.77"/>
    <n v="9"/>
    <x v="3"/>
  </r>
  <r>
    <s v="AR20278"/>
    <x v="3"/>
    <d v="2025-10-23T00:00:00"/>
    <d v="2025-12-04T00:00:00"/>
    <n v="3945.49"/>
    <n v="44"/>
    <x v="2"/>
  </r>
  <r>
    <s v="AR20281"/>
    <x v="1"/>
    <d v="2025-01-21T00:00:00"/>
    <d v="2025-03-04T00:00:00"/>
    <n v="1912.05"/>
    <n v="241"/>
    <x v="0"/>
  </r>
  <r>
    <s v="AR20282"/>
    <x v="0"/>
    <d v="2025-11-19T00:00:00"/>
    <d v="2025-12-31T00:00:00"/>
    <n v="5329.48"/>
    <n v="25"/>
    <x v="3"/>
  </r>
  <r>
    <s v="AR20283"/>
    <x v="0"/>
    <d v="2025-06-20T00:00:00"/>
    <d v="2025-08-01T00:00:00"/>
    <n v="5287.6"/>
    <n v="133"/>
    <x v="0"/>
  </r>
  <r>
    <s v="AR20284"/>
    <x v="4"/>
    <d v="2025-09-01T00:00:00"/>
    <d v="2025-10-13T00:00:00"/>
    <n v="4912.0600000000004"/>
    <n v="82"/>
    <x v="4"/>
  </r>
  <r>
    <s v="AR20285"/>
    <x v="1"/>
    <d v="2026-02-08T00:00:00"/>
    <d v="2026-03-20T00:00:00"/>
    <n v="6804.92"/>
    <n v="0"/>
    <x v="1"/>
  </r>
  <r>
    <s v="AR20286"/>
    <x v="2"/>
    <d v="2025-04-03T00:00:00"/>
    <d v="2025-05-15T00:00:00"/>
    <n v="2819.2"/>
    <n v="189"/>
    <x v="0"/>
  </r>
  <r>
    <s v="AR20287"/>
    <x v="0"/>
    <d v="2025-01-07T00:00:00"/>
    <d v="2025-02-18T00:00:00"/>
    <n v="4818.12"/>
    <n v="251"/>
    <x v="0"/>
  </r>
  <r>
    <s v="AR20289"/>
    <x v="0"/>
    <d v="2025-10-20T00:00:00"/>
    <d v="2025-12-01T00:00:00"/>
    <n v="6215.27"/>
    <n v="47"/>
    <x v="2"/>
  </r>
  <r>
    <s v="AR20290"/>
    <x v="1"/>
    <d v="2026-01-30T00:00:00"/>
    <d v="2026-03-13T00:00:00"/>
    <n v="772.4"/>
    <n v="0"/>
    <x v="1"/>
  </r>
  <r>
    <s v="AR20292"/>
    <x v="1"/>
    <d v="2026-05-21T00:00:00"/>
    <d v="2026-07-02T00:00:00"/>
    <n v="844.47"/>
    <n v="0"/>
    <x v="1"/>
  </r>
  <r>
    <s v="AR20293"/>
    <x v="4"/>
    <d v="2025-11-28T00:00:00"/>
    <d v="2026-01-09T00:00:00"/>
    <n v="1392.54"/>
    <n v="18"/>
    <x v="3"/>
  </r>
  <r>
    <s v="AR20295"/>
    <x v="4"/>
    <d v="2025-02-13T00:00:00"/>
    <d v="2025-03-27T00:00:00"/>
    <n v="2944.07"/>
    <n v="224"/>
    <x v="0"/>
  </r>
  <r>
    <s v="AR20296"/>
    <x v="0"/>
    <d v="2025-09-02T00:00:00"/>
    <d v="2025-10-14T00:00:00"/>
    <n v="6013.51"/>
    <n v="81"/>
    <x v="4"/>
  </r>
  <r>
    <s v="AR20297"/>
    <x v="3"/>
    <d v="2025-02-05T00:00:00"/>
    <d v="2025-03-19T00:00:00"/>
    <n v="1766.81"/>
    <n v="230"/>
    <x v="0"/>
  </r>
  <r>
    <s v="AR20298"/>
    <x v="1"/>
    <d v="2025-12-18T00:00:00"/>
    <d v="2026-01-29T00:00:00"/>
    <n v="5288.72"/>
    <n v="4"/>
    <x v="3"/>
  </r>
  <r>
    <s v="AR20299"/>
    <x v="0"/>
    <d v="2025-09-07T00:00:00"/>
    <d v="2025-10-17T00:00:00"/>
    <n v="487.55"/>
    <n v="78"/>
    <x v="4"/>
  </r>
  <r>
    <s v="AR20300"/>
    <x v="0"/>
    <d v="2025-11-14T00:00:00"/>
    <d v="2025-12-26T00:00:00"/>
    <n v="1910.38"/>
    <n v="28"/>
    <x v="3"/>
  </r>
  <r>
    <s v="AR20302"/>
    <x v="3"/>
    <d v="2025-08-12T00:00:00"/>
    <d v="2025-09-23T00:00:00"/>
    <n v="6586.64"/>
    <n v="96"/>
    <x v="0"/>
  </r>
  <r>
    <s v="AR20304"/>
    <x v="2"/>
    <d v="2025-02-16T00:00:00"/>
    <d v="2025-03-28T00:00:00"/>
    <n v="1308.93"/>
    <n v="223"/>
    <x v="0"/>
  </r>
  <r>
    <s v="AR20305"/>
    <x v="4"/>
    <d v="2026-05-04T00:00:00"/>
    <d v="2026-06-15T00:00:00"/>
    <n v="3082.75"/>
    <n v="0"/>
    <x v="1"/>
  </r>
  <r>
    <s v="AR20307"/>
    <x v="0"/>
    <d v="2026-06-13T00:00:00"/>
    <d v="2026-07-24T00:00:00"/>
    <n v="612.58000000000004"/>
    <n v="0"/>
    <x v="1"/>
  </r>
  <r>
    <s v="AR20308"/>
    <x v="2"/>
    <d v="2025-12-20T00:00:00"/>
    <d v="2026-01-30T00:00:00"/>
    <n v="6586.08"/>
    <n v="3"/>
    <x v="3"/>
  </r>
  <r>
    <s v="AR20309"/>
    <x v="1"/>
    <d v="2025-10-13T00:00:00"/>
    <d v="2025-11-24T00:00:00"/>
    <n v="7135.58"/>
    <n v="52"/>
    <x v="2"/>
  </r>
  <r>
    <s v="AR20310"/>
    <x v="2"/>
    <d v="2025-11-15T00:00:00"/>
    <d v="2025-12-26T00:00:00"/>
    <n v="3310.59"/>
    <n v="28"/>
    <x v="3"/>
  </r>
  <r>
    <s v="AR20311"/>
    <x v="3"/>
    <d v="2026-06-05T00:00:00"/>
    <d v="2026-07-17T00:00:00"/>
    <n v="6859.56"/>
    <n v="0"/>
    <x v="1"/>
  </r>
  <r>
    <s v="AR20314"/>
    <x v="2"/>
    <d v="2026-03-05T00:00:00"/>
    <d v="2026-04-16T00:00:00"/>
    <n v="3464.1"/>
    <n v="0"/>
    <x v="1"/>
  </r>
  <r>
    <s v="AR20316"/>
    <x v="1"/>
    <d v="2025-10-31T00:00:00"/>
    <d v="2025-12-12T00:00:00"/>
    <n v="375.36"/>
    <n v="38"/>
    <x v="2"/>
  </r>
  <r>
    <s v="AR20317"/>
    <x v="0"/>
    <d v="2025-11-21T00:00:00"/>
    <d v="2026-01-02T00:00:00"/>
    <n v="4606.43"/>
    <n v="23"/>
    <x v="3"/>
  </r>
  <r>
    <s v="AR20318"/>
    <x v="0"/>
    <d v="2025-02-21T00:00:00"/>
    <d v="2025-04-04T00:00:00"/>
    <n v="3956.63"/>
    <n v="218"/>
    <x v="0"/>
  </r>
  <r>
    <s v="AR20320"/>
    <x v="4"/>
    <d v="2025-11-02T00:00:00"/>
    <d v="2025-12-12T00:00:00"/>
    <n v="3131.18"/>
    <n v="38"/>
    <x v="2"/>
  </r>
  <r>
    <s v="AR20321"/>
    <x v="4"/>
    <d v="2025-02-22T00:00:00"/>
    <d v="2025-04-04T00:00:00"/>
    <n v="7443.46"/>
    <n v="218"/>
    <x v="0"/>
  </r>
  <r>
    <s v="AR20322"/>
    <x v="2"/>
    <d v="2025-01-31T00:00:00"/>
    <d v="2025-03-14T00:00:00"/>
    <n v="3523.63"/>
    <n v="233"/>
    <x v="0"/>
  </r>
  <r>
    <s v="AR20323"/>
    <x v="1"/>
    <d v="2025-01-24T00:00:00"/>
    <d v="2025-03-07T00:00:00"/>
    <n v="255.41"/>
    <n v="238"/>
    <x v="0"/>
  </r>
  <r>
    <s v="AR20326"/>
    <x v="4"/>
    <d v="2025-12-31T00:00:00"/>
    <d v="2026-02-11T00:00:00"/>
    <n v="1759.2"/>
    <n v="0"/>
    <x v="1"/>
  </r>
  <r>
    <s v="AR20327"/>
    <x v="3"/>
    <d v="2025-12-17T00:00:00"/>
    <d v="2026-01-28T00:00:00"/>
    <n v="7446.1"/>
    <n v="5"/>
    <x v="3"/>
  </r>
  <r>
    <s v="AR20328"/>
    <x v="0"/>
    <d v="2025-12-19T00:00:00"/>
    <d v="2026-01-30T00:00:00"/>
    <n v="5244.86"/>
    <n v="3"/>
    <x v="3"/>
  </r>
  <r>
    <s v="AR20329"/>
    <x v="0"/>
    <d v="2025-02-24T00:00:00"/>
    <d v="2025-04-07T00:00:00"/>
    <n v="7281.91"/>
    <n v="217"/>
    <x v="0"/>
  </r>
  <r>
    <s v="AR20330"/>
    <x v="4"/>
    <d v="2025-05-06T00:00:00"/>
    <d v="2025-06-17T00:00:00"/>
    <n v="1209.49"/>
    <n v="166"/>
    <x v="0"/>
  </r>
  <r>
    <s v="AR20331"/>
    <x v="0"/>
    <d v="2025-10-23T00:00:00"/>
    <d v="2025-12-04T00:00:00"/>
    <n v="6584.61"/>
    <n v="44"/>
    <x v="2"/>
  </r>
  <r>
    <s v="AR20332"/>
    <x v="1"/>
    <d v="2025-01-30T00:00:00"/>
    <d v="2025-03-13T00:00:00"/>
    <n v="4282.2299999999996"/>
    <n v="234"/>
    <x v="0"/>
  </r>
  <r>
    <s v="AR20333"/>
    <x v="0"/>
    <d v="2026-06-15T00:00:00"/>
    <d v="2026-07-27T00:00:00"/>
    <n v="443.26"/>
    <n v="0"/>
    <x v="1"/>
  </r>
  <r>
    <s v="AR20334"/>
    <x v="0"/>
    <d v="2025-06-09T00:00:00"/>
    <d v="2025-07-21T00:00:00"/>
    <n v="6477.19"/>
    <n v="142"/>
    <x v="0"/>
  </r>
  <r>
    <s v="AR20337"/>
    <x v="3"/>
    <d v="2025-03-22T00:00:00"/>
    <d v="2025-05-02T00:00:00"/>
    <n v="2160.27"/>
    <n v="198"/>
    <x v="0"/>
  </r>
  <r>
    <s v="AR20339"/>
    <x v="4"/>
    <d v="2025-08-28T00:00:00"/>
    <d v="2025-10-09T00:00:00"/>
    <n v="2252.3000000000002"/>
    <n v="84"/>
    <x v="4"/>
  </r>
  <r>
    <s v="AR20340"/>
    <x v="4"/>
    <d v="2025-09-26T00:00:00"/>
    <d v="2025-11-07T00:00:00"/>
    <n v="235.01"/>
    <n v="63"/>
    <x v="4"/>
  </r>
  <r>
    <s v="AR20343"/>
    <x v="2"/>
    <d v="2025-03-04T00:00:00"/>
    <d v="2025-04-15T00:00:00"/>
    <n v="3315.73"/>
    <n v="211"/>
    <x v="0"/>
  </r>
  <r>
    <s v="AR20344"/>
    <x v="4"/>
    <d v="2025-11-09T00:00:00"/>
    <d v="2025-12-19T00:00:00"/>
    <n v="6472.22"/>
    <n v="33"/>
    <x v="2"/>
  </r>
  <r>
    <s v="AR20345"/>
    <x v="2"/>
    <d v="2026-03-11T00:00:00"/>
    <d v="2026-04-22T00:00:00"/>
    <n v="3493.6"/>
    <n v="0"/>
    <x v="1"/>
  </r>
  <r>
    <s v="AR20346"/>
    <x v="3"/>
    <d v="2026-01-23T00:00:00"/>
    <d v="2026-03-06T00:00:00"/>
    <n v="547.94000000000005"/>
    <n v="0"/>
    <x v="1"/>
  </r>
  <r>
    <s v="AR20347"/>
    <x v="0"/>
    <d v="2025-12-12T00:00:00"/>
    <d v="2026-01-23T00:00:00"/>
    <n v="5276.49"/>
    <n v="8"/>
    <x v="3"/>
  </r>
  <r>
    <s v="AR20348"/>
    <x v="3"/>
    <d v="2025-04-20T00:00:00"/>
    <d v="2025-05-30T00:00:00"/>
    <n v="1752.5"/>
    <n v="178"/>
    <x v="0"/>
  </r>
  <r>
    <s v="AR20349"/>
    <x v="3"/>
    <d v="2026-06-19T00:00:00"/>
    <d v="2026-07-31T00:00:00"/>
    <n v="3580.72"/>
    <n v="0"/>
    <x v="1"/>
  </r>
  <r>
    <s v="AR20350"/>
    <x v="1"/>
    <d v="2025-08-24T00:00:00"/>
    <d v="2025-10-03T00:00:00"/>
    <n v="6738.75"/>
    <n v="88"/>
    <x v="4"/>
  </r>
  <r>
    <s v="AR20353"/>
    <x v="2"/>
    <d v="2025-05-15T00:00:00"/>
    <d v="2025-06-26T00:00:00"/>
    <n v="6004.91"/>
    <n v="159"/>
    <x v="0"/>
  </r>
  <r>
    <s v="AR20354"/>
    <x v="1"/>
    <d v="2025-02-17T00:00:00"/>
    <d v="2025-03-31T00:00:00"/>
    <n v="7397.93"/>
    <n v="222"/>
    <x v="0"/>
  </r>
  <r>
    <s v="AR20358"/>
    <x v="1"/>
    <d v="2025-10-06T00:00:00"/>
    <d v="2025-11-17T00:00:00"/>
    <n v="6683.45"/>
    <n v="57"/>
    <x v="2"/>
  </r>
  <r>
    <s v="AR20360"/>
    <x v="3"/>
    <d v="2025-10-11T00:00:00"/>
    <d v="2025-11-21T00:00:00"/>
    <n v="6345.32"/>
    <n v="53"/>
    <x v="2"/>
  </r>
  <r>
    <s v="AR20362"/>
    <x v="0"/>
    <d v="2026-04-29T00:00:00"/>
    <d v="2026-06-10T00:00:00"/>
    <n v="6384.66"/>
    <n v="0"/>
    <x v="1"/>
  </r>
  <r>
    <s v="AR20363"/>
    <x v="4"/>
    <d v="2025-02-04T00:00:00"/>
    <d v="2025-03-18T00:00:00"/>
    <n v="7693.54"/>
    <n v="231"/>
    <x v="0"/>
  </r>
  <r>
    <s v="AR20364"/>
    <x v="4"/>
    <d v="2025-09-04T00:00:00"/>
    <d v="2025-10-16T00:00:00"/>
    <n v="6624.35"/>
    <n v="79"/>
    <x v="4"/>
  </r>
  <r>
    <s v="AR20368"/>
    <x v="3"/>
    <d v="2025-01-19T00:00:00"/>
    <d v="2025-02-28T00:00:00"/>
    <n v="6594.56"/>
    <n v="243"/>
    <x v="0"/>
  </r>
  <r>
    <s v="AR20369"/>
    <x v="0"/>
    <d v="2025-12-03T00:00:00"/>
    <d v="2026-01-14T00:00:00"/>
    <n v="1143.42"/>
    <n v="15"/>
    <x v="3"/>
  </r>
  <r>
    <s v="AR20370"/>
    <x v="2"/>
    <d v="2026-02-05T00:00:00"/>
    <d v="2026-03-19T00:00:00"/>
    <n v="4928.9399999999996"/>
    <n v="0"/>
    <x v="1"/>
  </r>
  <r>
    <s v="AR20371"/>
    <x v="3"/>
    <d v="2025-01-02T00:00:00"/>
    <d v="2025-02-13T00:00:00"/>
    <n v="1440.91"/>
    <n v="254"/>
    <x v="0"/>
  </r>
  <r>
    <s v="AR20375"/>
    <x v="3"/>
    <d v="2025-06-10T00:00:00"/>
    <d v="2025-07-22T00:00:00"/>
    <n v="1827.23"/>
    <n v="141"/>
    <x v="0"/>
  </r>
  <r>
    <s v="AR20377"/>
    <x v="0"/>
    <d v="2025-09-06T00:00:00"/>
    <d v="2025-10-17T00:00:00"/>
    <n v="3694.12"/>
    <n v="78"/>
    <x v="4"/>
  </r>
  <r>
    <s v="AR20382"/>
    <x v="3"/>
    <d v="2025-08-14T00:00:00"/>
    <d v="2025-09-25T00:00:00"/>
    <n v="2691.8"/>
    <n v="94"/>
    <x v="0"/>
  </r>
  <r>
    <s v="AR20383"/>
    <x v="2"/>
    <d v="2025-08-10T00:00:00"/>
    <d v="2025-09-19T00:00:00"/>
    <n v="607.58000000000004"/>
    <n v="98"/>
    <x v="0"/>
  </r>
  <r>
    <s v="AR20384"/>
    <x v="2"/>
    <d v="2025-07-17T00:00:00"/>
    <d v="2025-08-28T00:00:00"/>
    <n v="6330.55"/>
    <n v="114"/>
    <x v="0"/>
  </r>
  <r>
    <s v="AR20385"/>
    <x v="0"/>
    <d v="2025-05-10T00:00:00"/>
    <d v="2025-06-20T00:00:00"/>
    <n v="3116.61"/>
    <n v="163"/>
    <x v="0"/>
  </r>
  <r>
    <s v="AR20386"/>
    <x v="1"/>
    <d v="2025-01-21T00:00:00"/>
    <d v="2025-03-04T00:00:00"/>
    <n v="3804.81"/>
    <n v="241"/>
    <x v="0"/>
  </r>
  <r>
    <s v="AR20388"/>
    <x v="1"/>
    <d v="2025-07-25T00:00:00"/>
    <d v="2025-09-05T00:00:00"/>
    <n v="7847.61"/>
    <n v="108"/>
    <x v="0"/>
  </r>
  <r>
    <s v="AR20389"/>
    <x v="3"/>
    <d v="2025-04-26T00:00:00"/>
    <d v="2025-06-06T00:00:00"/>
    <n v="6567.27"/>
    <n v="173"/>
    <x v="0"/>
  </r>
  <r>
    <s v="AR20391"/>
    <x v="3"/>
    <d v="2025-06-16T00:00:00"/>
    <d v="2025-07-28T00:00:00"/>
    <n v="1676.02"/>
    <n v="137"/>
    <x v="0"/>
  </r>
  <r>
    <s v="AR20392"/>
    <x v="4"/>
    <d v="2025-06-03T00:00:00"/>
    <d v="2025-07-15T00:00:00"/>
    <n v="2327.48"/>
    <n v="146"/>
    <x v="0"/>
  </r>
  <r>
    <s v="AR20393"/>
    <x v="3"/>
    <d v="2026-04-18T00:00:00"/>
    <d v="2026-05-29T00:00:00"/>
    <n v="3446.92"/>
    <n v="0"/>
    <x v="1"/>
  </r>
  <r>
    <s v="AR20394"/>
    <x v="2"/>
    <d v="2025-07-20T00:00:00"/>
    <d v="2025-08-29T00:00:00"/>
    <n v="7984.68"/>
    <n v="113"/>
    <x v="0"/>
  </r>
  <r>
    <s v="AR20395"/>
    <x v="0"/>
    <d v="2025-01-23T00:00:00"/>
    <d v="2025-03-06T00:00:00"/>
    <n v="6686.26"/>
    <n v="239"/>
    <x v="0"/>
  </r>
  <r>
    <s v="AR20396"/>
    <x v="0"/>
    <d v="2026-05-01T00:00:00"/>
    <d v="2026-06-12T00:00:00"/>
    <n v="7289.46"/>
    <n v="0"/>
    <x v="1"/>
  </r>
  <r>
    <s v="AR20397"/>
    <x v="3"/>
    <d v="2026-03-24T00:00:00"/>
    <d v="2026-05-05T00:00:00"/>
    <n v="5288.29"/>
    <n v="0"/>
    <x v="1"/>
  </r>
  <r>
    <s v="AR20399"/>
    <x v="2"/>
    <d v="2025-12-19T00:00:00"/>
    <d v="2026-01-30T00:00:00"/>
    <n v="2428.5300000000002"/>
    <n v="3"/>
    <x v="3"/>
  </r>
  <r>
    <s v="AR20401"/>
    <x v="3"/>
    <d v="2025-02-21T00:00:00"/>
    <d v="2025-04-04T00:00:00"/>
    <n v="5625.72"/>
    <n v="218"/>
    <x v="0"/>
  </r>
  <r>
    <s v="AR20404"/>
    <x v="4"/>
    <d v="2025-07-04T00:00:00"/>
    <d v="2025-08-15T00:00:00"/>
    <n v="4123.71"/>
    <n v="123"/>
    <x v="0"/>
  </r>
  <r>
    <s v="AR20405"/>
    <x v="2"/>
    <d v="2026-06-06T00:00:00"/>
    <d v="2026-07-17T00:00:00"/>
    <n v="6281.96"/>
    <n v="0"/>
    <x v="1"/>
  </r>
  <r>
    <s v="AR20406"/>
    <x v="0"/>
    <d v="2025-04-22T00:00:00"/>
    <d v="2025-06-03T00:00:00"/>
    <n v="5969.43"/>
    <n v="176"/>
    <x v="0"/>
  </r>
  <r>
    <s v="AR20407"/>
    <x v="0"/>
    <d v="2026-01-01T00:00:00"/>
    <d v="2026-02-12T00:00:00"/>
    <n v="1704.24"/>
    <n v="0"/>
    <x v="1"/>
  </r>
  <r>
    <s v="AR20408"/>
    <x v="1"/>
    <d v="2025-12-11T00:00:00"/>
    <d v="2026-01-22T00:00:00"/>
    <n v="4385.67"/>
    <n v="9"/>
    <x v="3"/>
  </r>
  <r>
    <s v="AR20413"/>
    <x v="4"/>
    <d v="2025-10-25T00:00:00"/>
    <d v="2025-12-05T00:00:00"/>
    <n v="2115.17"/>
    <n v="43"/>
    <x v="2"/>
  </r>
  <r>
    <s v="AR20414"/>
    <x v="1"/>
    <d v="2026-05-07T00:00:00"/>
    <d v="2026-06-18T00:00:00"/>
    <n v="3323.86"/>
    <n v="0"/>
    <x v="1"/>
  </r>
  <r>
    <s v="AR20416"/>
    <x v="3"/>
    <d v="2025-10-15T00:00:00"/>
    <d v="2025-11-26T00:00:00"/>
    <n v="3609.1"/>
    <n v="50"/>
    <x v="2"/>
  </r>
  <r>
    <s v="AR20418"/>
    <x v="4"/>
    <d v="2026-05-30T00:00:00"/>
    <d v="2026-07-10T00:00:00"/>
    <n v="3470.79"/>
    <n v="0"/>
    <x v="1"/>
  </r>
  <r>
    <s v="AR20420"/>
    <x v="1"/>
    <d v="2025-11-04T00:00:00"/>
    <d v="2025-12-16T00:00:00"/>
    <n v="4991.91"/>
    <n v="36"/>
    <x v="2"/>
  </r>
  <r>
    <s v="AR20421"/>
    <x v="3"/>
    <d v="2025-03-11T00:00:00"/>
    <d v="2025-04-22T00:00:00"/>
    <n v="2777.5"/>
    <n v="206"/>
    <x v="0"/>
  </r>
  <r>
    <s v="AR20425"/>
    <x v="1"/>
    <d v="2025-09-08T00:00:00"/>
    <d v="2025-10-20T00:00:00"/>
    <n v="7106.93"/>
    <n v="77"/>
    <x v="4"/>
  </r>
  <r>
    <s v="AR20426"/>
    <x v="0"/>
    <d v="2025-10-05T00:00:00"/>
    <d v="2025-11-14T00:00:00"/>
    <n v="5137.3500000000004"/>
    <n v="58"/>
    <x v="2"/>
  </r>
  <r>
    <s v="AR20428"/>
    <x v="3"/>
    <d v="2025-01-11T00:00:00"/>
    <d v="2025-02-21T00:00:00"/>
    <n v="691.52"/>
    <n v="248"/>
    <x v="0"/>
  </r>
  <r>
    <s v="AR20429"/>
    <x v="1"/>
    <d v="2025-12-07T00:00:00"/>
    <d v="2026-01-16T00:00:00"/>
    <n v="4176.67"/>
    <n v="13"/>
    <x v="3"/>
  </r>
  <r>
    <s v="AR20430"/>
    <x v="3"/>
    <d v="2025-05-27T00:00:00"/>
    <d v="2025-07-08T00:00:00"/>
    <n v="1480.05"/>
    <n v="151"/>
    <x v="0"/>
  </r>
  <r>
    <s v="AR20431"/>
    <x v="1"/>
    <d v="2026-05-17T00:00:00"/>
    <d v="2026-06-26T00:00:00"/>
    <n v="6143.97"/>
    <n v="0"/>
    <x v="1"/>
  </r>
  <r>
    <s v="AR20432"/>
    <x v="2"/>
    <d v="2025-02-06T00:00:00"/>
    <d v="2025-03-20T00:00:00"/>
    <n v="6797.28"/>
    <n v="229"/>
    <x v="0"/>
  </r>
  <r>
    <s v="AR20433"/>
    <x v="3"/>
    <d v="2025-03-21T00:00:00"/>
    <d v="2025-05-02T00:00:00"/>
    <n v="7109.3"/>
    <n v="198"/>
    <x v="0"/>
  </r>
  <r>
    <s v="AR20434"/>
    <x v="3"/>
    <d v="2025-06-16T00:00:00"/>
    <d v="2025-07-28T00:00:00"/>
    <n v="783.4"/>
    <n v="137"/>
    <x v="0"/>
  </r>
  <r>
    <s v="AR20435"/>
    <x v="1"/>
    <d v="2026-01-18T00:00:00"/>
    <d v="2026-02-27T00:00:00"/>
    <n v="807.05"/>
    <n v="0"/>
    <x v="1"/>
  </r>
  <r>
    <s v="AR20437"/>
    <x v="4"/>
    <d v="2025-04-11T00:00:00"/>
    <d v="2025-05-23T00:00:00"/>
    <n v="7018.75"/>
    <n v="183"/>
    <x v="0"/>
  </r>
  <r>
    <s v="AR20441"/>
    <x v="0"/>
    <d v="2026-05-15T00:00:00"/>
    <d v="2026-06-26T00:00:00"/>
    <n v="2303.2399999999998"/>
    <n v="0"/>
    <x v="1"/>
  </r>
  <r>
    <s v="AR20442"/>
    <x v="0"/>
    <d v="2025-09-30T00:00:00"/>
    <d v="2025-11-11T00:00:00"/>
    <n v="2906.05"/>
    <n v="61"/>
    <x v="4"/>
  </r>
  <r>
    <s v="AR20446"/>
    <x v="2"/>
    <d v="2025-12-30T00:00:00"/>
    <d v="2026-02-10T00:00:00"/>
    <n v="4561.8999999999996"/>
    <n v="0"/>
    <x v="1"/>
  </r>
  <r>
    <s v="AR20447"/>
    <x v="0"/>
    <d v="2025-05-15T00:00:00"/>
    <d v="2025-06-26T00:00:00"/>
    <n v="6920.67"/>
    <n v="159"/>
    <x v="0"/>
  </r>
  <r>
    <s v="AR20448"/>
    <x v="2"/>
    <d v="2025-06-05T00:00:00"/>
    <d v="2025-07-17T00:00:00"/>
    <n v="1154.44"/>
    <n v="144"/>
    <x v="0"/>
  </r>
  <r>
    <s v="AR20450"/>
    <x v="3"/>
    <d v="2025-09-25T00:00:00"/>
    <d v="2025-11-06T00:00:00"/>
    <n v="2374.91"/>
    <n v="64"/>
    <x v="4"/>
  </r>
  <r>
    <s v="AR20451"/>
    <x v="0"/>
    <d v="2025-09-08T00:00:00"/>
    <d v="2025-10-20T00:00:00"/>
    <n v="2984.83"/>
    <n v="77"/>
    <x v="4"/>
  </r>
  <r>
    <s v="AR20452"/>
    <x v="4"/>
    <d v="2025-03-20T00:00:00"/>
    <d v="2025-05-01T00:00:00"/>
    <n v="5377.36"/>
    <n v="199"/>
    <x v="0"/>
  </r>
  <r>
    <s v="AR20453"/>
    <x v="4"/>
    <d v="2025-10-03T00:00:00"/>
    <d v="2025-11-14T00:00:00"/>
    <n v="4366.74"/>
    <n v="58"/>
    <x v="2"/>
  </r>
  <r>
    <s v="AR20454"/>
    <x v="4"/>
    <d v="2025-01-31T00:00:00"/>
    <d v="2025-03-14T00:00:00"/>
    <n v="2198.7600000000002"/>
    <n v="233"/>
    <x v="0"/>
  </r>
  <r>
    <s v="AR20455"/>
    <x v="0"/>
    <d v="2025-07-04T00:00:00"/>
    <d v="2025-08-15T00:00:00"/>
    <n v="2079.5700000000002"/>
    <n v="123"/>
    <x v="0"/>
  </r>
  <r>
    <s v="AR20456"/>
    <x v="3"/>
    <d v="2025-04-13T00:00:00"/>
    <d v="2025-05-23T00:00:00"/>
    <n v="6720.98"/>
    <n v="183"/>
    <x v="0"/>
  </r>
  <r>
    <s v="AR20457"/>
    <x v="4"/>
    <d v="2025-08-13T00:00:00"/>
    <d v="2025-09-24T00:00:00"/>
    <n v="1057.5899999999999"/>
    <n v="95"/>
    <x v="0"/>
  </r>
  <r>
    <s v="AR20459"/>
    <x v="1"/>
    <d v="2025-07-13T00:00:00"/>
    <d v="2025-08-22T00:00:00"/>
    <n v="5123.8599999999997"/>
    <n v="118"/>
    <x v="0"/>
  </r>
  <r>
    <s v="AR20460"/>
    <x v="0"/>
    <d v="2025-01-07T00:00:00"/>
    <d v="2025-02-18T00:00:00"/>
    <n v="6519.59"/>
    <n v="251"/>
    <x v="0"/>
  </r>
  <r>
    <s v="AR20462"/>
    <x v="3"/>
    <d v="2025-04-21T00:00:00"/>
    <d v="2025-06-02T00:00:00"/>
    <n v="1797.3"/>
    <n v="177"/>
    <x v="0"/>
  </r>
  <r>
    <s v="AR20465"/>
    <x v="3"/>
    <d v="2025-04-20T00:00:00"/>
    <d v="2025-05-30T00:00:00"/>
    <n v="1445.51"/>
    <n v="178"/>
    <x v="0"/>
  </r>
  <r>
    <s v="AR20466"/>
    <x v="3"/>
    <d v="2026-03-07T00:00:00"/>
    <d v="2026-04-17T00:00:00"/>
    <n v="5287.65"/>
    <n v="0"/>
    <x v="1"/>
  </r>
  <r>
    <s v="AR20467"/>
    <x v="1"/>
    <d v="2025-02-20T00:00:00"/>
    <d v="2025-04-03T00:00:00"/>
    <n v="6849.97"/>
    <n v="219"/>
    <x v="0"/>
  </r>
  <r>
    <s v="AR20468"/>
    <x v="1"/>
    <d v="2025-02-02T00:00:00"/>
    <d v="2025-03-14T00:00:00"/>
    <n v="3057.81"/>
    <n v="233"/>
    <x v="0"/>
  </r>
  <r>
    <s v="AR20471"/>
    <x v="4"/>
    <d v="2025-06-21T00:00:00"/>
    <d v="2025-08-01T00:00:00"/>
    <n v="5406.93"/>
    <n v="133"/>
    <x v="0"/>
  </r>
  <r>
    <s v="AR20472"/>
    <x v="0"/>
    <d v="2025-11-21T00:00:00"/>
    <d v="2026-01-02T00:00:00"/>
    <n v="6854.97"/>
    <n v="23"/>
    <x v="3"/>
  </r>
  <r>
    <s v="AR20474"/>
    <x v="3"/>
    <d v="2025-04-09T00:00:00"/>
    <d v="2025-05-21T00:00:00"/>
    <n v="2494.5300000000002"/>
    <n v="185"/>
    <x v="0"/>
  </r>
  <r>
    <s v="AR20475"/>
    <x v="0"/>
    <d v="2025-04-12T00:00:00"/>
    <d v="2025-05-23T00:00:00"/>
    <n v="3610.15"/>
    <n v="183"/>
    <x v="0"/>
  </r>
  <r>
    <s v="AR20477"/>
    <x v="2"/>
    <d v="2025-03-20T00:00:00"/>
    <d v="2025-05-01T00:00:00"/>
    <n v="2866.83"/>
    <n v="199"/>
    <x v="0"/>
  </r>
  <r>
    <s v="AR20478"/>
    <x v="3"/>
    <d v="2025-11-14T00:00:00"/>
    <d v="2025-12-26T00:00:00"/>
    <n v="6939.15"/>
    <n v="28"/>
    <x v="3"/>
  </r>
  <r>
    <s v="AR20479"/>
    <x v="2"/>
    <d v="2025-02-06T00:00:00"/>
    <d v="2025-03-20T00:00:00"/>
    <n v="2509.56"/>
    <n v="229"/>
    <x v="0"/>
  </r>
  <r>
    <s v="AR20481"/>
    <x v="3"/>
    <d v="2025-05-18T00:00:00"/>
    <d v="2025-06-27T00:00:00"/>
    <n v="1370.41"/>
    <n v="158"/>
    <x v="0"/>
  </r>
  <r>
    <s v="AR20482"/>
    <x v="0"/>
    <d v="2026-02-19T00:00:00"/>
    <d v="2026-04-02T00:00:00"/>
    <n v="4623.54"/>
    <n v="0"/>
    <x v="1"/>
  </r>
  <r>
    <s v="AR20485"/>
    <x v="3"/>
    <d v="2025-08-04T00:00:00"/>
    <d v="2025-09-15T00:00:00"/>
    <n v="5313.37"/>
    <n v="102"/>
    <x v="0"/>
  </r>
  <r>
    <s v="AR20491"/>
    <x v="4"/>
    <d v="2025-11-02T00:00:00"/>
    <d v="2025-12-12T00:00:00"/>
    <n v="6434.44"/>
    <n v="38"/>
    <x v="2"/>
  </r>
  <r>
    <s v="AR20492"/>
    <x v="4"/>
    <d v="2025-06-14T00:00:00"/>
    <d v="2025-07-25T00:00:00"/>
    <n v="2742.6"/>
    <n v="138"/>
    <x v="0"/>
  </r>
  <r>
    <s v="AR20493"/>
    <x v="3"/>
    <d v="2025-11-04T00:00:00"/>
    <d v="2025-12-16T00:00:00"/>
    <n v="2495.48"/>
    <n v="36"/>
    <x v="2"/>
  </r>
  <r>
    <s v="AR20495"/>
    <x v="1"/>
    <d v="2025-04-13T00:00:00"/>
    <d v="2025-05-23T00:00:00"/>
    <n v="2137.89"/>
    <n v="183"/>
    <x v="0"/>
  </r>
  <r>
    <s v="AR20496"/>
    <x v="2"/>
    <d v="2025-01-07T00:00:00"/>
    <d v="2025-02-18T00:00:00"/>
    <n v="6435.43"/>
    <n v="251"/>
    <x v="0"/>
  </r>
  <r>
    <s v="AR20497"/>
    <x v="1"/>
    <d v="2025-09-25T00:00:00"/>
    <d v="2025-11-06T00:00:00"/>
    <n v="1273.69"/>
    <n v="64"/>
    <x v="4"/>
  </r>
  <r>
    <s v="AR20500"/>
    <x v="0"/>
    <d v="2026-05-06T00:00:00"/>
    <d v="2026-06-17T00:00:00"/>
    <n v="5055.62"/>
    <n v="0"/>
    <x v="1"/>
  </r>
  <r>
    <s v="AR20501"/>
    <x v="3"/>
    <d v="2025-07-19T00:00:00"/>
    <d v="2025-08-29T00:00:00"/>
    <n v="1629.61"/>
    <n v="113"/>
    <x v="0"/>
  </r>
  <r>
    <s v="AR20502"/>
    <x v="2"/>
    <d v="2025-03-03T00:00:00"/>
    <d v="2025-04-14T00:00:00"/>
    <n v="6605.12"/>
    <n v="212"/>
    <x v="0"/>
  </r>
  <r>
    <s v="AR20503"/>
    <x v="0"/>
    <d v="2025-09-05T00:00:00"/>
    <d v="2025-10-17T00:00:00"/>
    <n v="2497.34"/>
    <n v="78"/>
    <x v="4"/>
  </r>
  <r>
    <s v="AR20505"/>
    <x v="3"/>
    <d v="2025-09-29T00:00:00"/>
    <d v="2025-11-10T00:00:00"/>
    <n v="3027.77"/>
    <n v="62"/>
    <x v="4"/>
  </r>
  <r>
    <s v="AR20507"/>
    <x v="1"/>
    <d v="2025-01-11T00:00:00"/>
    <d v="2025-02-21T00:00:00"/>
    <n v="7102.62"/>
    <n v="248"/>
    <x v="0"/>
  </r>
  <r>
    <s v="AR20508"/>
    <x v="4"/>
    <d v="2025-07-17T00:00:00"/>
    <d v="2025-08-28T00:00:00"/>
    <n v="5929.86"/>
    <n v="114"/>
    <x v="0"/>
  </r>
  <r>
    <s v="AR20509"/>
    <x v="0"/>
    <d v="2025-01-27T00:00:00"/>
    <d v="2025-03-10T00:00:00"/>
    <n v="6424.1"/>
    <n v="237"/>
    <x v="0"/>
  </r>
  <r>
    <s v="AR20510"/>
    <x v="4"/>
    <d v="2025-08-31T00:00:00"/>
    <d v="2025-10-10T00:00:00"/>
    <n v="4923.67"/>
    <n v="83"/>
    <x v="4"/>
  </r>
  <r>
    <s v="AR20512"/>
    <x v="0"/>
    <d v="2026-02-13T00:00:00"/>
    <d v="2026-03-27T00:00:00"/>
    <n v="6136.43"/>
    <n v="0"/>
    <x v="1"/>
  </r>
  <r>
    <s v="AR20514"/>
    <x v="0"/>
    <d v="2025-09-25T00:00:00"/>
    <d v="2025-11-06T00:00:00"/>
    <n v="6215.44"/>
    <n v="64"/>
    <x v="4"/>
  </r>
  <r>
    <s v="AR20515"/>
    <x v="2"/>
    <d v="2025-01-19T00:00:00"/>
    <d v="2025-02-28T00:00:00"/>
    <n v="2857.74"/>
    <n v="243"/>
    <x v="0"/>
  </r>
  <r>
    <s v="AR20516"/>
    <x v="4"/>
    <d v="2025-03-24T00:00:00"/>
    <d v="2025-05-05T00:00:00"/>
    <n v="4322.01"/>
    <n v="197"/>
    <x v="0"/>
  </r>
  <r>
    <s v="AR20517"/>
    <x v="0"/>
    <d v="2026-02-25T00:00:00"/>
    <d v="2026-04-08T00:00:00"/>
    <n v="7905.09"/>
    <n v="0"/>
    <x v="1"/>
  </r>
  <r>
    <s v="AR20518"/>
    <x v="1"/>
    <d v="2025-02-28T00:00:00"/>
    <d v="2025-04-11T00:00:00"/>
    <n v="743.1"/>
    <n v="213"/>
    <x v="0"/>
  </r>
  <r>
    <s v="AR20519"/>
    <x v="3"/>
    <d v="2025-01-06T00:00:00"/>
    <d v="2025-02-17T00:00:00"/>
    <n v="6727.1"/>
    <n v="252"/>
    <x v="0"/>
  </r>
  <r>
    <s v="AR20520"/>
    <x v="4"/>
    <d v="2026-06-04T00:00:00"/>
    <d v="2026-07-16T00:00:00"/>
    <n v="917.97"/>
    <n v="0"/>
    <x v="1"/>
  </r>
  <r>
    <s v="AR20521"/>
    <x v="0"/>
    <d v="2025-08-16T00:00:00"/>
    <d v="2025-09-26T00:00:00"/>
    <n v="1299.6199999999999"/>
    <n v="93"/>
    <x v="0"/>
  </r>
  <r>
    <s v="AR20522"/>
    <x v="4"/>
    <d v="2025-02-16T00:00:00"/>
    <d v="2025-03-28T00:00:00"/>
    <n v="2593.81"/>
    <n v="223"/>
    <x v="0"/>
  </r>
  <r>
    <s v="AR20523"/>
    <x v="1"/>
    <d v="2026-02-27T00:00:00"/>
    <d v="2026-04-10T00:00:00"/>
    <n v="5910.9"/>
    <n v="0"/>
    <x v="1"/>
  </r>
  <r>
    <s v="AR20524"/>
    <x v="0"/>
    <d v="2025-12-11T00:00:00"/>
    <d v="2026-01-22T00:00:00"/>
    <n v="4375.05"/>
    <n v="9"/>
    <x v="3"/>
  </r>
  <r>
    <s v="AR20525"/>
    <x v="2"/>
    <d v="2025-10-04T00:00:00"/>
    <d v="2025-11-14T00:00:00"/>
    <n v="5454.31"/>
    <n v="58"/>
    <x v="2"/>
  </r>
  <r>
    <s v="AR20526"/>
    <x v="3"/>
    <d v="2025-05-21T00:00:00"/>
    <d v="2025-07-02T00:00:00"/>
    <n v="7779.62"/>
    <n v="155"/>
    <x v="0"/>
  </r>
  <r>
    <s v="AR20528"/>
    <x v="1"/>
    <d v="2025-11-21T00:00:00"/>
    <d v="2026-01-02T00:00:00"/>
    <n v="6285.37"/>
    <n v="23"/>
    <x v="3"/>
  </r>
  <r>
    <s v="AR20529"/>
    <x v="1"/>
    <d v="2025-06-15T00:00:00"/>
    <d v="2025-07-25T00:00:00"/>
    <n v="6675.34"/>
    <n v="138"/>
    <x v="0"/>
  </r>
  <r>
    <s v="AR20533"/>
    <x v="4"/>
    <d v="2026-05-12T00:00:00"/>
    <d v="2026-06-23T00:00:00"/>
    <n v="3320.12"/>
    <n v="0"/>
    <x v="1"/>
  </r>
  <r>
    <s v="AR20534"/>
    <x v="4"/>
    <d v="2025-06-26T00:00:00"/>
    <d v="2025-08-07T00:00:00"/>
    <n v="3567.1"/>
    <n v="129"/>
    <x v="0"/>
  </r>
  <r>
    <s v="AR20535"/>
    <x v="3"/>
    <d v="2025-06-23T00:00:00"/>
    <d v="2025-08-04T00:00:00"/>
    <n v="1514.1"/>
    <n v="132"/>
    <x v="0"/>
  </r>
  <r>
    <s v="AR20536"/>
    <x v="1"/>
    <d v="2025-07-21T00:00:00"/>
    <d v="2025-09-01T00:00:00"/>
    <n v="5234.6000000000004"/>
    <n v="112"/>
    <x v="0"/>
  </r>
  <r>
    <s v="AR20537"/>
    <x v="2"/>
    <d v="2025-12-13T00:00:00"/>
    <d v="2026-01-23T00:00:00"/>
    <n v="3441.63"/>
    <n v="8"/>
    <x v="3"/>
  </r>
  <r>
    <s v="AR20538"/>
    <x v="0"/>
    <d v="2025-10-21T00:00:00"/>
    <d v="2025-12-02T00:00:00"/>
    <n v="6507.19"/>
    <n v="46"/>
    <x v="2"/>
  </r>
  <r>
    <s v="AR20539"/>
    <x v="4"/>
    <d v="2026-03-03T00:00:00"/>
    <d v="2026-04-14T00:00:00"/>
    <n v="3028.92"/>
    <n v="0"/>
    <x v="1"/>
  </r>
  <r>
    <s v="AR20541"/>
    <x v="3"/>
    <d v="2026-03-12T00:00:00"/>
    <d v="2026-04-23T00:00:00"/>
    <n v="6618.18"/>
    <n v="0"/>
    <x v="1"/>
  </r>
  <r>
    <s v="AR20542"/>
    <x v="4"/>
    <d v="2025-03-01T00:00:00"/>
    <d v="2025-04-11T00:00:00"/>
    <n v="289.27999999999997"/>
    <n v="213"/>
    <x v="0"/>
  </r>
  <r>
    <s v="AR20543"/>
    <x v="1"/>
    <d v="2026-04-12T00:00:00"/>
    <d v="2026-05-22T00:00:00"/>
    <n v="5116.57"/>
    <n v="0"/>
    <x v="1"/>
  </r>
  <r>
    <s v="AR20545"/>
    <x v="0"/>
    <d v="2025-07-23T00:00:00"/>
    <d v="2025-09-03T00:00:00"/>
    <n v="2650.37"/>
    <n v="110"/>
    <x v="0"/>
  </r>
  <r>
    <s v="AR20546"/>
    <x v="3"/>
    <d v="2026-04-22T00:00:00"/>
    <d v="2026-06-03T00:00:00"/>
    <n v="4369.96"/>
    <n v="0"/>
    <x v="1"/>
  </r>
  <r>
    <s v="AR20547"/>
    <x v="4"/>
    <d v="2026-04-02T00:00:00"/>
    <d v="2026-05-14T00:00:00"/>
    <n v="436.3"/>
    <n v="0"/>
    <x v="1"/>
  </r>
  <r>
    <s v="AR20548"/>
    <x v="0"/>
    <d v="2025-01-17T00:00:00"/>
    <d v="2025-02-28T00:00:00"/>
    <n v="2188.6999999999998"/>
    <n v="243"/>
    <x v="0"/>
  </r>
  <r>
    <s v="AR20550"/>
    <x v="3"/>
    <d v="2025-08-06T00:00:00"/>
    <d v="2025-09-17T00:00:00"/>
    <n v="4212.33"/>
    <n v="100"/>
    <x v="0"/>
  </r>
  <r>
    <s v="AR20551"/>
    <x v="2"/>
    <d v="2025-10-14T00:00:00"/>
    <d v="2025-11-25T00:00:00"/>
    <n v="5357.53"/>
    <n v="51"/>
    <x v="2"/>
  </r>
  <r>
    <s v="AR20552"/>
    <x v="3"/>
    <d v="2025-04-22T00:00:00"/>
    <d v="2025-06-03T00:00:00"/>
    <n v="3853.52"/>
    <n v="176"/>
    <x v="0"/>
  </r>
  <r>
    <s v="AR20554"/>
    <x v="0"/>
    <d v="2025-03-11T00:00:00"/>
    <d v="2025-04-22T00:00:00"/>
    <n v="6667.79"/>
    <n v="206"/>
    <x v="0"/>
  </r>
  <r>
    <s v="AR20556"/>
    <x v="1"/>
    <d v="2025-10-28T00:00:00"/>
    <d v="2025-12-09T00:00:00"/>
    <n v="3429.97"/>
    <n v="41"/>
    <x v="2"/>
  </r>
  <r>
    <s v="AR20557"/>
    <x v="4"/>
    <d v="2026-06-01T00:00:00"/>
    <d v="2026-07-13T00:00:00"/>
    <n v="2696.48"/>
    <n v="0"/>
    <x v="1"/>
  </r>
  <r>
    <s v="AR20558"/>
    <x v="3"/>
    <d v="2025-09-18T00:00:00"/>
    <d v="2025-10-30T00:00:00"/>
    <n v="2767.09"/>
    <n v="69"/>
    <x v="4"/>
  </r>
  <r>
    <s v="AR20560"/>
    <x v="4"/>
    <d v="2025-09-08T00:00:00"/>
    <d v="2025-10-20T00:00:00"/>
    <n v="2776.14"/>
    <n v="77"/>
    <x v="4"/>
  </r>
  <r>
    <s v="AR20561"/>
    <x v="4"/>
    <d v="2025-09-28T00:00:00"/>
    <d v="2025-11-07T00:00:00"/>
    <n v="4256.9399999999996"/>
    <n v="63"/>
    <x v="4"/>
  </r>
  <r>
    <s v="AR20562"/>
    <x v="2"/>
    <d v="2025-02-23T00:00:00"/>
    <d v="2025-04-04T00:00:00"/>
    <n v="7675.1"/>
    <n v="218"/>
    <x v="0"/>
  </r>
  <r>
    <s v="AR20563"/>
    <x v="4"/>
    <d v="2025-02-02T00:00:00"/>
    <d v="2025-03-14T00:00:00"/>
    <n v="1561.55"/>
    <n v="233"/>
    <x v="0"/>
  </r>
  <r>
    <s v="AR20565"/>
    <x v="0"/>
    <d v="2026-06-12T00:00:00"/>
    <d v="2026-07-24T00:00:00"/>
    <n v="5171.99"/>
    <n v="0"/>
    <x v="1"/>
  </r>
  <r>
    <s v="AR20566"/>
    <x v="1"/>
    <d v="2025-10-26T00:00:00"/>
    <d v="2025-12-05T00:00:00"/>
    <n v="6132.23"/>
    <n v="43"/>
    <x v="2"/>
  </r>
  <r>
    <s v="AR20567"/>
    <x v="3"/>
    <d v="2025-07-07T00:00:00"/>
    <d v="2025-08-18T00:00:00"/>
    <n v="5228.9399999999996"/>
    <n v="122"/>
    <x v="0"/>
  </r>
  <r>
    <s v="AR20568"/>
    <x v="1"/>
    <d v="2025-06-07T00:00:00"/>
    <d v="2025-07-18T00:00:00"/>
    <n v="2406.41"/>
    <n v="143"/>
    <x v="0"/>
  </r>
  <r>
    <s v="AR20569"/>
    <x v="4"/>
    <d v="2025-03-07T00:00:00"/>
    <d v="2025-04-18T00:00:00"/>
    <n v="7118.9"/>
    <n v="208"/>
    <x v="0"/>
  </r>
  <r>
    <s v="AR20570"/>
    <x v="0"/>
    <d v="2026-06-28T00:00:00"/>
    <d v="2026-08-07T00:00:00"/>
    <n v="2548.35"/>
    <n v="0"/>
    <x v="1"/>
  </r>
  <r>
    <s v="AR20571"/>
    <x v="2"/>
    <d v="2025-07-05T00:00:00"/>
    <d v="2025-08-15T00:00:00"/>
    <n v="5346.99"/>
    <n v="123"/>
    <x v="0"/>
  </r>
  <r>
    <s v="AR20573"/>
    <x v="0"/>
    <d v="2025-02-26T00:00:00"/>
    <d v="2025-04-09T00:00:00"/>
    <n v="332.76"/>
    <n v="215"/>
    <x v="0"/>
  </r>
  <r>
    <s v="AR20577"/>
    <x v="0"/>
    <d v="2026-02-04T00:00:00"/>
    <d v="2026-03-18T00:00:00"/>
    <n v="1607"/>
    <n v="0"/>
    <x v="1"/>
  </r>
  <r>
    <s v="AR20580"/>
    <x v="0"/>
    <d v="2025-01-07T00:00:00"/>
    <d v="2025-02-18T00:00:00"/>
    <n v="2177.16"/>
    <n v="251"/>
    <x v="0"/>
  </r>
  <r>
    <s v="AR20582"/>
    <x v="4"/>
    <d v="2026-04-14T00:00:00"/>
    <d v="2026-05-26T00:00:00"/>
    <n v="1242.32"/>
    <n v="0"/>
    <x v="1"/>
  </r>
  <r>
    <s v="AR20583"/>
    <x v="4"/>
    <d v="2026-01-19T00:00:00"/>
    <d v="2026-03-02T00:00:00"/>
    <n v="4115.6400000000003"/>
    <n v="0"/>
    <x v="1"/>
  </r>
  <r>
    <s v="AR20584"/>
    <x v="1"/>
    <d v="2025-11-09T00:00:00"/>
    <d v="2025-12-19T00:00:00"/>
    <n v="7260.77"/>
    <n v="33"/>
    <x v="2"/>
  </r>
  <r>
    <s v="AR20586"/>
    <x v="3"/>
    <d v="2025-02-11T00:00:00"/>
    <d v="2025-03-25T00:00:00"/>
    <n v="6294.93"/>
    <n v="226"/>
    <x v="0"/>
  </r>
  <r>
    <s v="AR20587"/>
    <x v="1"/>
    <d v="2025-11-23T00:00:00"/>
    <d v="2026-01-02T00:00:00"/>
    <n v="4468.68"/>
    <n v="23"/>
    <x v="3"/>
  </r>
  <r>
    <s v="AR20588"/>
    <x v="1"/>
    <d v="2025-10-24T00:00:00"/>
    <d v="2025-12-05T00:00:00"/>
    <n v="240.09"/>
    <n v="43"/>
    <x v="2"/>
  </r>
  <r>
    <s v="AR20592"/>
    <x v="1"/>
    <d v="2025-08-06T00:00:00"/>
    <d v="2025-09-17T00:00:00"/>
    <n v="5527.3"/>
    <n v="100"/>
    <x v="0"/>
  </r>
  <r>
    <s v="AR20593"/>
    <x v="4"/>
    <d v="2025-11-21T00:00:00"/>
    <d v="2026-01-02T00:00:00"/>
    <n v="3629.15"/>
    <n v="23"/>
    <x v="3"/>
  </r>
  <r>
    <s v="AR20594"/>
    <x v="2"/>
    <d v="2025-08-30T00:00:00"/>
    <d v="2025-10-10T00:00:00"/>
    <n v="1194.05"/>
    <n v="83"/>
    <x v="4"/>
  </r>
  <r>
    <s v="AR20596"/>
    <x v="3"/>
    <d v="2025-07-22T00:00:00"/>
    <d v="2025-09-02T00:00:00"/>
    <n v="5091.8900000000003"/>
    <n v="111"/>
    <x v="0"/>
  </r>
  <r>
    <s v="AR20597"/>
    <x v="4"/>
    <d v="2025-08-08T00:00:00"/>
    <d v="2025-09-19T00:00:00"/>
    <n v="6072.8"/>
    <n v="98"/>
    <x v="0"/>
  </r>
  <r>
    <s v="AR20598"/>
    <x v="2"/>
    <d v="2025-07-07T00:00:00"/>
    <d v="2025-08-18T00:00:00"/>
    <n v="4904.74"/>
    <n v="122"/>
    <x v="0"/>
  </r>
  <r>
    <s v="AR20600"/>
    <x v="4"/>
    <d v="2025-02-17T00:00:00"/>
    <d v="2025-03-31T00:00:00"/>
    <n v="4297.46"/>
    <n v="222"/>
    <x v="0"/>
  </r>
  <r>
    <s v="AR20601"/>
    <x v="0"/>
    <d v="2025-09-29T00:00:00"/>
    <d v="2025-11-10T00:00:00"/>
    <n v="6265.82"/>
    <n v="62"/>
    <x v="4"/>
  </r>
  <r>
    <s v="AR20603"/>
    <x v="0"/>
    <d v="2025-06-20T00:00:00"/>
    <d v="2025-08-01T00:00:00"/>
    <n v="2594.04"/>
    <n v="133"/>
    <x v="0"/>
  </r>
  <r>
    <s v="AR20604"/>
    <x v="2"/>
    <d v="2025-01-15T00:00:00"/>
    <d v="2025-02-26T00:00:00"/>
    <n v="3492.88"/>
    <n v="245"/>
    <x v="0"/>
  </r>
  <r>
    <s v="AR20605"/>
    <x v="0"/>
    <d v="2026-05-01T00:00:00"/>
    <d v="2026-06-12T00:00:00"/>
    <n v="6733.21"/>
    <n v="0"/>
    <x v="1"/>
  </r>
  <r>
    <s v="AR20606"/>
    <x v="3"/>
    <d v="2025-01-14T00:00:00"/>
    <d v="2025-02-25T00:00:00"/>
    <n v="392.35"/>
    <n v="246"/>
    <x v="0"/>
  </r>
  <r>
    <s v="AR20607"/>
    <x v="4"/>
    <d v="2025-03-24T00:00:00"/>
    <d v="2025-05-05T00:00:00"/>
    <n v="372.39"/>
    <n v="197"/>
    <x v="0"/>
  </r>
  <r>
    <s v="AR20608"/>
    <x v="3"/>
    <d v="2025-01-07T00:00:00"/>
    <d v="2025-02-18T00:00:00"/>
    <n v="5066.4799999999996"/>
    <n v="251"/>
    <x v="0"/>
  </r>
  <r>
    <s v="AR20609"/>
    <x v="0"/>
    <d v="2026-05-27T00:00:00"/>
    <d v="2026-07-08T00:00:00"/>
    <n v="2397.25"/>
    <n v="0"/>
    <x v="1"/>
  </r>
  <r>
    <s v="AR20610"/>
    <x v="1"/>
    <d v="2025-07-13T00:00:00"/>
    <d v="2025-08-22T00:00:00"/>
    <n v="1999.63"/>
    <n v="118"/>
    <x v="0"/>
  </r>
  <r>
    <s v="AR20612"/>
    <x v="4"/>
    <d v="2025-04-20T00:00:00"/>
    <d v="2025-05-30T00:00:00"/>
    <n v="594.48"/>
    <n v="178"/>
    <x v="0"/>
  </r>
  <r>
    <s v="AR20613"/>
    <x v="1"/>
    <d v="2025-09-12T00:00:00"/>
    <d v="2025-10-24T00:00:00"/>
    <n v="6539.17"/>
    <n v="73"/>
    <x v="4"/>
  </r>
  <r>
    <s v="AR20614"/>
    <x v="1"/>
    <d v="2025-04-02T00:00:00"/>
    <d v="2025-05-14T00:00:00"/>
    <n v="6898.03"/>
    <n v="190"/>
    <x v="0"/>
  </r>
  <r>
    <s v="AR20615"/>
    <x v="0"/>
    <d v="2025-01-13T00:00:00"/>
    <d v="2025-02-24T00:00:00"/>
    <n v="1278.8699999999999"/>
    <n v="247"/>
    <x v="0"/>
  </r>
  <r>
    <s v="AR20617"/>
    <x v="0"/>
    <d v="2025-10-21T00:00:00"/>
    <d v="2025-12-02T00:00:00"/>
    <n v="2262.88"/>
    <n v="46"/>
    <x v="2"/>
  </r>
  <r>
    <s v="AR20618"/>
    <x v="2"/>
    <d v="2025-06-20T00:00:00"/>
    <d v="2025-08-01T00:00:00"/>
    <n v="839.79"/>
    <n v="133"/>
    <x v="0"/>
  </r>
  <r>
    <s v="AR20619"/>
    <x v="3"/>
    <d v="2025-10-09T00:00:00"/>
    <d v="2025-11-20T00:00:00"/>
    <n v="1981.78"/>
    <n v="54"/>
    <x v="2"/>
  </r>
  <r>
    <s v="AR20622"/>
    <x v="0"/>
    <d v="2025-05-02T00:00:00"/>
    <d v="2025-06-13T00:00:00"/>
    <n v="1214.1099999999999"/>
    <n v="168"/>
    <x v="0"/>
  </r>
  <r>
    <s v="AR20624"/>
    <x v="4"/>
    <d v="2025-11-13T00:00:00"/>
    <d v="2025-12-25T00:00:00"/>
    <n v="7029.41"/>
    <n v="29"/>
    <x v="3"/>
  </r>
  <r>
    <s v="AR20625"/>
    <x v="0"/>
    <d v="2025-09-05T00:00:00"/>
    <d v="2025-10-17T00:00:00"/>
    <n v="4527.1099999999997"/>
    <n v="78"/>
    <x v="4"/>
  </r>
  <r>
    <s v="AR20626"/>
    <x v="1"/>
    <d v="2025-05-11T00:00:00"/>
    <d v="2025-06-20T00:00:00"/>
    <n v="6525.23"/>
    <n v="163"/>
    <x v="0"/>
  </r>
  <r>
    <s v="AR20628"/>
    <x v="3"/>
    <d v="2026-02-19T00:00:00"/>
    <d v="2026-04-02T00:00:00"/>
    <n v="1942.51"/>
    <n v="0"/>
    <x v="1"/>
  </r>
  <r>
    <s v="AR20629"/>
    <x v="0"/>
    <d v="2025-11-11T00:00:00"/>
    <d v="2025-12-23T00:00:00"/>
    <n v="5154.78"/>
    <n v="31"/>
    <x v="2"/>
  </r>
  <r>
    <s v="AR20630"/>
    <x v="4"/>
    <d v="2025-07-19T00:00:00"/>
    <d v="2025-08-29T00:00:00"/>
    <n v="2001.78"/>
    <n v="113"/>
    <x v="0"/>
  </r>
  <r>
    <s v="AR20631"/>
    <x v="0"/>
    <d v="2025-10-27T00:00:00"/>
    <d v="2025-12-08T00:00:00"/>
    <n v="2090.41"/>
    <n v="42"/>
    <x v="2"/>
  </r>
  <r>
    <s v="AR20634"/>
    <x v="3"/>
    <d v="2025-07-01T00:00:00"/>
    <d v="2025-08-12T00:00:00"/>
    <n v="7964.05"/>
    <n v="126"/>
    <x v="0"/>
  </r>
  <r>
    <s v="AR20635"/>
    <x v="4"/>
    <d v="2026-04-13T00:00:00"/>
    <d v="2026-05-25T00:00:00"/>
    <n v="1540.79"/>
    <n v="0"/>
    <x v="1"/>
  </r>
  <r>
    <s v="AR20636"/>
    <x v="2"/>
    <d v="2026-04-21T00:00:00"/>
    <d v="2026-06-02T00:00:00"/>
    <n v="1933.33"/>
    <n v="0"/>
    <x v="1"/>
  </r>
  <r>
    <s v="AR20637"/>
    <x v="1"/>
    <d v="2025-09-02T00:00:00"/>
    <d v="2025-10-14T00:00:00"/>
    <n v="458.58"/>
    <n v="81"/>
    <x v="4"/>
  </r>
  <r>
    <s v="AR20638"/>
    <x v="2"/>
    <d v="2026-06-29T00:00:00"/>
    <d v="2026-08-10T00:00:00"/>
    <n v="5760.56"/>
    <n v="0"/>
    <x v="1"/>
  </r>
  <r>
    <s v="AR20639"/>
    <x v="1"/>
    <d v="2026-06-09T00:00:00"/>
    <d v="2026-07-21T00:00:00"/>
    <n v="1719.86"/>
    <n v="0"/>
    <x v="1"/>
  </r>
  <r>
    <s v="AR20640"/>
    <x v="2"/>
    <d v="2026-03-09T00:00:00"/>
    <d v="2026-04-20T00:00:00"/>
    <n v="6756.99"/>
    <n v="0"/>
    <x v="1"/>
  </r>
  <r>
    <s v="AR20641"/>
    <x v="0"/>
    <d v="2025-11-10T00:00:00"/>
    <d v="2025-12-22T00:00:00"/>
    <n v="4654.32"/>
    <n v="32"/>
    <x v="2"/>
  </r>
  <r>
    <s v="AR20642"/>
    <x v="2"/>
    <d v="2025-10-06T00:00:00"/>
    <d v="2025-11-17T00:00:00"/>
    <n v="3915.77"/>
    <n v="57"/>
    <x v="2"/>
  </r>
  <r>
    <s v="AR20646"/>
    <x v="2"/>
    <d v="2025-08-20T00:00:00"/>
    <d v="2025-10-01T00:00:00"/>
    <n v="745.71"/>
    <n v="90"/>
    <x v="4"/>
  </r>
  <r>
    <s v="AR20648"/>
    <x v="0"/>
    <d v="2025-09-17T00:00:00"/>
    <d v="2025-10-29T00:00:00"/>
    <n v="4831.9799999999996"/>
    <n v="70"/>
    <x v="4"/>
  </r>
  <r>
    <s v="AR20649"/>
    <x v="1"/>
    <d v="2025-01-03T00:00:00"/>
    <d v="2025-02-14T00:00:00"/>
    <n v="1606.99"/>
    <n v="253"/>
    <x v="0"/>
  </r>
  <r>
    <s v="AR20650"/>
    <x v="2"/>
    <d v="2025-01-07T00:00:00"/>
    <d v="2025-02-18T00:00:00"/>
    <n v="243.81"/>
    <n v="251"/>
    <x v="0"/>
  </r>
  <r>
    <s v="AR20653"/>
    <x v="3"/>
    <d v="2025-08-24T00:00:00"/>
    <d v="2025-10-03T00:00:00"/>
    <n v="6816.1"/>
    <n v="88"/>
    <x v="4"/>
  </r>
  <r>
    <s v="AR20654"/>
    <x v="0"/>
    <d v="2025-08-02T00:00:00"/>
    <d v="2025-09-12T00:00:00"/>
    <n v="3940.19"/>
    <n v="103"/>
    <x v="0"/>
  </r>
  <r>
    <s v="AR20655"/>
    <x v="3"/>
    <d v="2025-06-14T00:00:00"/>
    <d v="2025-07-25T00:00:00"/>
    <n v="3595.35"/>
    <n v="138"/>
    <x v="0"/>
  </r>
  <r>
    <s v="AR20656"/>
    <x v="0"/>
    <d v="2025-05-15T00:00:00"/>
    <d v="2025-06-26T00:00:00"/>
    <n v="3077.11"/>
    <n v="159"/>
    <x v="0"/>
  </r>
  <r>
    <s v="AR20657"/>
    <x v="0"/>
    <d v="2026-02-17T00:00:00"/>
    <d v="2026-03-31T00:00:00"/>
    <n v="5124.7"/>
    <n v="0"/>
    <x v="1"/>
  </r>
  <r>
    <s v="AR20658"/>
    <x v="0"/>
    <d v="2025-06-15T00:00:00"/>
    <d v="2025-07-25T00:00:00"/>
    <n v="7013.17"/>
    <n v="138"/>
    <x v="0"/>
  </r>
  <r>
    <s v="AR20659"/>
    <x v="2"/>
    <d v="2025-02-07T00:00:00"/>
    <d v="2025-03-21T00:00:00"/>
    <n v="6328.76"/>
    <n v="228"/>
    <x v="0"/>
  </r>
  <r>
    <s v="AR20664"/>
    <x v="1"/>
    <d v="2025-09-05T00:00:00"/>
    <d v="2025-10-17T00:00:00"/>
    <n v="902.03"/>
    <n v="78"/>
    <x v="4"/>
  </r>
  <r>
    <s v="AR20665"/>
    <x v="4"/>
    <d v="2026-03-11T00:00:00"/>
    <d v="2026-04-22T00:00:00"/>
    <n v="5343.75"/>
    <n v="0"/>
    <x v="1"/>
  </r>
  <r>
    <s v="AR20666"/>
    <x v="1"/>
    <d v="2025-11-16T00:00:00"/>
    <d v="2025-12-26T00:00:00"/>
    <n v="7948.89"/>
    <n v="28"/>
    <x v="3"/>
  </r>
  <r>
    <s v="AR20668"/>
    <x v="1"/>
    <d v="2025-07-21T00:00:00"/>
    <d v="2025-09-01T00:00:00"/>
    <n v="4905.33"/>
    <n v="112"/>
    <x v="0"/>
  </r>
  <r>
    <s v="AR20671"/>
    <x v="4"/>
    <d v="2025-02-23T00:00:00"/>
    <d v="2025-04-04T00:00:00"/>
    <n v="5531.26"/>
    <n v="218"/>
    <x v="0"/>
  </r>
  <r>
    <s v="AR20672"/>
    <x v="2"/>
    <d v="2026-03-31T00:00:00"/>
    <d v="2026-05-12T00:00:00"/>
    <n v="696.31"/>
    <n v="0"/>
    <x v="1"/>
  </r>
  <r>
    <s v="AR20673"/>
    <x v="2"/>
    <d v="2026-05-27T00:00:00"/>
    <d v="2026-07-08T00:00:00"/>
    <n v="4219.1899999999996"/>
    <n v="0"/>
    <x v="1"/>
  </r>
  <r>
    <s v="AR20674"/>
    <x v="0"/>
    <d v="2025-02-01T00:00:00"/>
    <d v="2025-03-14T00:00:00"/>
    <n v="6754.63"/>
    <n v="233"/>
    <x v="0"/>
  </r>
  <r>
    <s v="AR20676"/>
    <x v="3"/>
    <d v="2025-06-04T00:00:00"/>
    <d v="2025-07-16T00:00:00"/>
    <n v="5986.21"/>
    <n v="145"/>
    <x v="0"/>
  </r>
  <r>
    <s v="AR20679"/>
    <x v="1"/>
    <d v="2025-11-27T00:00:00"/>
    <d v="2026-01-08T00:00:00"/>
    <n v="4948.45"/>
    <n v="19"/>
    <x v="3"/>
  </r>
  <r>
    <s v="AR20680"/>
    <x v="3"/>
    <d v="2025-03-21T00:00:00"/>
    <d v="2025-05-02T00:00:00"/>
    <n v="3111.12"/>
    <n v="198"/>
    <x v="0"/>
  </r>
  <r>
    <s v="AR20681"/>
    <x v="1"/>
    <d v="2026-06-16T00:00:00"/>
    <d v="2026-07-28T00:00:00"/>
    <n v="4171.1000000000004"/>
    <n v="0"/>
    <x v="1"/>
  </r>
  <r>
    <s v="AR20684"/>
    <x v="0"/>
    <d v="2025-10-04T00:00:00"/>
    <d v="2025-11-14T00:00:00"/>
    <n v="6025.55"/>
    <n v="58"/>
    <x v="2"/>
  </r>
  <r>
    <s v="AR20685"/>
    <x v="4"/>
    <d v="2025-02-24T00:00:00"/>
    <d v="2025-04-07T00:00:00"/>
    <n v="4483.34"/>
    <n v="217"/>
    <x v="0"/>
  </r>
  <r>
    <s v="AR20686"/>
    <x v="2"/>
    <d v="2026-05-19T00:00:00"/>
    <d v="2026-06-30T00:00:00"/>
    <n v="1864.5"/>
    <n v="0"/>
    <x v="1"/>
  </r>
  <r>
    <s v="AR20687"/>
    <x v="2"/>
    <d v="2025-11-05T00:00:00"/>
    <d v="2025-12-17T00:00:00"/>
    <n v="3805.4"/>
    <n v="35"/>
    <x v="2"/>
  </r>
  <r>
    <s v="AR20688"/>
    <x v="2"/>
    <d v="2025-06-14T00:00:00"/>
    <d v="2025-07-25T00:00:00"/>
    <n v="3548.95"/>
    <n v="138"/>
    <x v="0"/>
  </r>
  <r>
    <s v="AR20689"/>
    <x v="0"/>
    <d v="2025-11-25T00:00:00"/>
    <d v="2026-01-06T00:00:00"/>
    <n v="283.44"/>
    <n v="21"/>
    <x v="3"/>
  </r>
  <r>
    <s v="AR20690"/>
    <x v="3"/>
    <d v="2025-05-29T00:00:00"/>
    <d v="2025-07-10T00:00:00"/>
    <n v="3193.11"/>
    <n v="149"/>
    <x v="0"/>
  </r>
  <r>
    <s v="AR20691"/>
    <x v="1"/>
    <d v="2025-01-20T00:00:00"/>
    <d v="2025-03-03T00:00:00"/>
    <n v="2760.66"/>
    <n v="242"/>
    <x v="0"/>
  </r>
  <r>
    <s v="AR20693"/>
    <x v="4"/>
    <d v="2025-01-21T00:00:00"/>
    <d v="2025-03-04T00:00:00"/>
    <n v="4442.5200000000004"/>
    <n v="241"/>
    <x v="0"/>
  </r>
  <r>
    <s v="AR20694"/>
    <x v="2"/>
    <d v="2025-10-01T00:00:00"/>
    <d v="2025-11-12T00:00:00"/>
    <n v="6614.86"/>
    <n v="60"/>
    <x v="2"/>
  </r>
  <r>
    <s v="AR20695"/>
    <x v="2"/>
    <d v="2025-11-11T00:00:00"/>
    <d v="2025-12-23T00:00:00"/>
    <n v="2556.04"/>
    <n v="31"/>
    <x v="2"/>
  </r>
  <r>
    <s v="AR20696"/>
    <x v="0"/>
    <d v="2025-08-19T00:00:00"/>
    <d v="2025-09-30T00:00:00"/>
    <n v="2111.52"/>
    <n v="91"/>
    <x v="0"/>
  </r>
  <r>
    <s v="AR20697"/>
    <x v="4"/>
    <d v="2025-03-21T00:00:00"/>
    <d v="2025-05-02T00:00:00"/>
    <n v="982.36"/>
    <n v="198"/>
    <x v="0"/>
  </r>
  <r>
    <s v="AR20698"/>
    <x v="2"/>
    <d v="2025-03-11T00:00:00"/>
    <d v="2025-04-22T00:00:00"/>
    <n v="5662.81"/>
    <n v="206"/>
    <x v="0"/>
  </r>
  <r>
    <s v="AR20699"/>
    <x v="0"/>
    <d v="2025-05-29T00:00:00"/>
    <d v="2025-07-10T00:00:00"/>
    <n v="5466.25"/>
    <n v="149"/>
    <x v="0"/>
  </r>
  <r>
    <s v="AR20700"/>
    <x v="0"/>
    <d v="2025-03-03T00:00:00"/>
    <d v="2025-04-14T00:00:00"/>
    <n v="5790.42"/>
    <n v="212"/>
    <x v="0"/>
  </r>
  <r>
    <s v="AR20702"/>
    <x v="3"/>
    <d v="2025-09-10T00:00:00"/>
    <d v="2025-10-22T00:00:00"/>
    <n v="3252.33"/>
    <n v="75"/>
    <x v="4"/>
  </r>
  <r>
    <s v="AR20704"/>
    <x v="2"/>
    <d v="2026-06-09T00:00:00"/>
    <d v="2026-07-21T00:00:00"/>
    <n v="1447.17"/>
    <n v="0"/>
    <x v="1"/>
  </r>
  <r>
    <s v="AR20705"/>
    <x v="0"/>
    <d v="2025-08-05T00:00:00"/>
    <d v="2025-09-16T00:00:00"/>
    <n v="7506.22"/>
    <n v="101"/>
    <x v="0"/>
  </r>
  <r>
    <s v="AR20706"/>
    <x v="2"/>
    <d v="2026-04-14T00:00:00"/>
    <d v="2026-05-26T00:00:00"/>
    <n v="7912.6"/>
    <n v="0"/>
    <x v="1"/>
  </r>
  <r>
    <s v="AR20708"/>
    <x v="3"/>
    <d v="2025-02-25T00:00:00"/>
    <d v="2025-04-08T00:00:00"/>
    <n v="6682.82"/>
    <n v="216"/>
    <x v="0"/>
  </r>
  <r>
    <s v="AR20709"/>
    <x v="3"/>
    <d v="2025-10-29T00:00:00"/>
    <d v="2025-12-10T00:00:00"/>
    <n v="4718.18"/>
    <n v="40"/>
    <x v="2"/>
  </r>
  <r>
    <s v="AR20710"/>
    <x v="0"/>
    <d v="2026-04-06T00:00:00"/>
    <d v="2026-05-18T00:00:00"/>
    <n v="5413.68"/>
    <n v="0"/>
    <x v="1"/>
  </r>
  <r>
    <s v="AR20712"/>
    <x v="1"/>
    <d v="2026-04-20T00:00:00"/>
    <d v="2026-06-01T00:00:00"/>
    <n v="1016.83"/>
    <n v="0"/>
    <x v="1"/>
  </r>
  <r>
    <s v="AR20713"/>
    <x v="2"/>
    <d v="2025-05-21T00:00:00"/>
    <d v="2025-07-02T00:00:00"/>
    <n v="4967.9399999999996"/>
    <n v="155"/>
    <x v="0"/>
  </r>
  <r>
    <s v="AR20715"/>
    <x v="0"/>
    <d v="2026-04-02T00:00:00"/>
    <d v="2026-05-14T00:00:00"/>
    <n v="2725.11"/>
    <n v="0"/>
    <x v="1"/>
  </r>
  <r>
    <s v="AR20717"/>
    <x v="3"/>
    <d v="2025-09-06T00:00:00"/>
    <d v="2025-10-17T00:00:00"/>
    <n v="379.48"/>
    <n v="78"/>
    <x v="4"/>
  </r>
  <r>
    <s v="AR20718"/>
    <x v="3"/>
    <d v="2025-04-11T00:00:00"/>
    <d v="2025-05-23T00:00:00"/>
    <n v="7372.24"/>
    <n v="183"/>
    <x v="0"/>
  </r>
  <r>
    <s v="AR20720"/>
    <x v="2"/>
    <d v="2025-05-16T00:00:00"/>
    <d v="2025-06-27T00:00:00"/>
    <n v="528.38"/>
    <n v="158"/>
    <x v="0"/>
  </r>
  <r>
    <s v="AR20721"/>
    <x v="4"/>
    <d v="2025-08-11T00:00:00"/>
    <d v="2025-09-22T00:00:00"/>
    <n v="6586.87"/>
    <n v="97"/>
    <x v="0"/>
  </r>
  <r>
    <s v="AR20722"/>
    <x v="1"/>
    <d v="2026-04-02T00:00:00"/>
    <d v="2026-05-14T00:00:00"/>
    <n v="1050.93"/>
    <n v="0"/>
    <x v="1"/>
  </r>
  <r>
    <s v="AR20725"/>
    <x v="0"/>
    <d v="2025-02-14T00:00:00"/>
    <d v="2025-03-28T00:00:00"/>
    <n v="2238.7600000000002"/>
    <n v="223"/>
    <x v="0"/>
  </r>
  <r>
    <s v="AR20726"/>
    <x v="1"/>
    <d v="2025-03-20T00:00:00"/>
    <d v="2025-05-01T00:00:00"/>
    <n v="6394.62"/>
    <n v="199"/>
    <x v="0"/>
  </r>
  <r>
    <s v="AR20727"/>
    <x v="2"/>
    <d v="2025-06-03T00:00:00"/>
    <d v="2025-07-15T00:00:00"/>
    <n v="7492.09"/>
    <n v="146"/>
    <x v="0"/>
  </r>
  <r>
    <s v="AR20728"/>
    <x v="0"/>
    <d v="2026-03-17T00:00:00"/>
    <d v="2026-04-28T00:00:00"/>
    <n v="4830.54"/>
    <n v="0"/>
    <x v="1"/>
  </r>
  <r>
    <s v="AR20729"/>
    <x v="1"/>
    <d v="2026-06-11T00:00:00"/>
    <d v="2026-07-23T00:00:00"/>
    <n v="4670.08"/>
    <n v="0"/>
    <x v="1"/>
  </r>
  <r>
    <s v="AR20731"/>
    <x v="1"/>
    <d v="2025-03-15T00:00:00"/>
    <d v="2025-04-25T00:00:00"/>
    <n v="4219.6099999999997"/>
    <n v="203"/>
    <x v="0"/>
  </r>
  <r>
    <s v="AR20733"/>
    <x v="2"/>
    <d v="2026-03-31T00:00:00"/>
    <d v="2026-05-12T00:00:00"/>
    <n v="3127.27"/>
    <n v="0"/>
    <x v="1"/>
  </r>
  <r>
    <s v="AR20735"/>
    <x v="1"/>
    <d v="2025-10-30T00:00:00"/>
    <d v="2025-12-11T00:00:00"/>
    <n v="5614.34"/>
    <n v="39"/>
    <x v="2"/>
  </r>
  <r>
    <s v="AR20736"/>
    <x v="3"/>
    <d v="2025-01-30T00:00:00"/>
    <d v="2025-03-13T00:00:00"/>
    <n v="7144.44"/>
    <n v="234"/>
    <x v="0"/>
  </r>
  <r>
    <s v="AR20738"/>
    <x v="4"/>
    <d v="2026-05-13T00:00:00"/>
    <d v="2026-06-24T00:00:00"/>
    <n v="4558.47"/>
    <n v="0"/>
    <x v="1"/>
  </r>
  <r>
    <s v="AR20741"/>
    <x v="1"/>
    <d v="2025-01-22T00:00:00"/>
    <d v="2025-03-05T00:00:00"/>
    <n v="1528"/>
    <n v="240"/>
    <x v="0"/>
  </r>
  <r>
    <s v="AR20743"/>
    <x v="1"/>
    <d v="2025-03-30T00:00:00"/>
    <d v="2025-05-09T00:00:00"/>
    <n v="4757.3900000000003"/>
    <n v="193"/>
    <x v="0"/>
  </r>
  <r>
    <s v="AR20745"/>
    <x v="3"/>
    <d v="2026-03-17T00:00:00"/>
    <d v="2026-04-28T00:00:00"/>
    <n v="1445.59"/>
    <n v="0"/>
    <x v="1"/>
  </r>
  <r>
    <s v="AR20747"/>
    <x v="2"/>
    <d v="2025-03-21T00:00:00"/>
    <d v="2025-05-02T00:00:00"/>
    <n v="5530.33"/>
    <n v="198"/>
    <x v="0"/>
  </r>
  <r>
    <s v="AR20748"/>
    <x v="0"/>
    <d v="2026-04-29T00:00:00"/>
    <d v="2026-06-10T00:00:00"/>
    <n v="2790.34"/>
    <n v="0"/>
    <x v="1"/>
  </r>
  <r>
    <s v="AR20749"/>
    <x v="0"/>
    <d v="2025-01-13T00:00:00"/>
    <d v="2025-02-24T00:00:00"/>
    <n v="7511.89"/>
    <n v="247"/>
    <x v="0"/>
  </r>
  <r>
    <s v="AR20750"/>
    <x v="3"/>
    <d v="2025-11-18T00:00:00"/>
    <d v="2025-12-30T00:00:00"/>
    <n v="7449.48"/>
    <n v="26"/>
    <x v="3"/>
  </r>
  <r>
    <s v="AR20751"/>
    <x v="0"/>
    <d v="2025-06-07T00:00:00"/>
    <d v="2025-07-18T00:00:00"/>
    <n v="5701.18"/>
    <n v="143"/>
    <x v="0"/>
  </r>
  <r>
    <s v="AR20752"/>
    <x v="1"/>
    <d v="2025-05-10T00:00:00"/>
    <d v="2025-06-20T00:00:00"/>
    <n v="2707.82"/>
    <n v="163"/>
    <x v="0"/>
  </r>
  <r>
    <s v="AR20753"/>
    <x v="1"/>
    <d v="2026-01-17T00:00:00"/>
    <d v="2026-02-27T00:00:00"/>
    <n v="289.7"/>
    <n v="0"/>
    <x v="1"/>
  </r>
  <r>
    <s v="AR20754"/>
    <x v="2"/>
    <d v="2026-06-08T00:00:00"/>
    <d v="2026-07-20T00:00:00"/>
    <n v="3246.06"/>
    <n v="0"/>
    <x v="1"/>
  </r>
  <r>
    <s v="AR20756"/>
    <x v="0"/>
    <d v="2025-02-10T00:00:00"/>
    <d v="2025-03-24T00:00:00"/>
    <n v="4564.2"/>
    <n v="227"/>
    <x v="0"/>
  </r>
  <r>
    <s v="AR20764"/>
    <x v="3"/>
    <d v="2025-08-04T00:00:00"/>
    <d v="2025-09-15T00:00:00"/>
    <n v="4181.1899999999996"/>
    <n v="102"/>
    <x v="0"/>
  </r>
  <r>
    <s v="AR20766"/>
    <x v="2"/>
    <d v="2025-08-22T00:00:00"/>
    <d v="2025-10-03T00:00:00"/>
    <n v="5261.47"/>
    <n v="88"/>
    <x v="4"/>
  </r>
  <r>
    <s v="AR20767"/>
    <x v="3"/>
    <d v="2025-12-03T00:00:00"/>
    <d v="2026-01-14T00:00:00"/>
    <n v="4961.4399999999996"/>
    <n v="15"/>
    <x v="3"/>
  </r>
  <r>
    <s v="AR20769"/>
    <x v="1"/>
    <d v="2026-05-04T00:00:00"/>
    <d v="2026-06-15T00:00:00"/>
    <n v="556.26"/>
    <n v="0"/>
    <x v="1"/>
  </r>
  <r>
    <s v="AR20770"/>
    <x v="3"/>
    <d v="2026-04-05T00:00:00"/>
    <d v="2026-05-15T00:00:00"/>
    <n v="3646.79"/>
    <n v="0"/>
    <x v="1"/>
  </r>
  <r>
    <s v="AR20774"/>
    <x v="2"/>
    <d v="2025-04-14T00:00:00"/>
    <d v="2025-05-26T00:00:00"/>
    <n v="3961.35"/>
    <n v="182"/>
    <x v="0"/>
  </r>
  <r>
    <s v="AR20776"/>
    <x v="2"/>
    <d v="2025-01-27T00:00:00"/>
    <d v="2025-03-10T00:00:00"/>
    <n v="1812.47"/>
    <n v="237"/>
    <x v="0"/>
  </r>
  <r>
    <s v="AR20777"/>
    <x v="3"/>
    <d v="2025-12-15T00:00:00"/>
    <d v="2026-01-26T00:00:00"/>
    <n v="661.49"/>
    <n v="7"/>
    <x v="3"/>
  </r>
  <r>
    <s v="AR20781"/>
    <x v="2"/>
    <d v="2025-02-17T00:00:00"/>
    <d v="2025-03-31T00:00:00"/>
    <n v="1061.81"/>
    <n v="222"/>
    <x v="0"/>
  </r>
  <r>
    <s v="AR20783"/>
    <x v="4"/>
    <d v="2025-12-07T00:00:00"/>
    <d v="2026-01-16T00:00:00"/>
    <n v="3464.63"/>
    <n v="13"/>
    <x v="3"/>
  </r>
  <r>
    <s v="AR20786"/>
    <x v="1"/>
    <d v="2025-10-31T00:00:00"/>
    <d v="2025-12-12T00:00:00"/>
    <n v="686.86"/>
    <n v="38"/>
    <x v="2"/>
  </r>
  <r>
    <s v="AR20788"/>
    <x v="4"/>
    <d v="2025-06-10T00:00:00"/>
    <d v="2025-07-22T00:00:00"/>
    <n v="7091.17"/>
    <n v="141"/>
    <x v="0"/>
  </r>
  <r>
    <s v="AR20789"/>
    <x v="3"/>
    <d v="2025-04-23T00:00:00"/>
    <d v="2025-06-04T00:00:00"/>
    <n v="7699.12"/>
    <n v="175"/>
    <x v="0"/>
  </r>
  <r>
    <s v="AR20791"/>
    <x v="4"/>
    <d v="2025-03-25T00:00:00"/>
    <d v="2025-05-06T00:00:00"/>
    <n v="2075.5"/>
    <n v="196"/>
    <x v="0"/>
  </r>
  <r>
    <s v="AR20792"/>
    <x v="4"/>
    <d v="2025-07-02T00:00:00"/>
    <d v="2025-08-13T00:00:00"/>
    <n v="1547.05"/>
    <n v="125"/>
    <x v="0"/>
  </r>
  <r>
    <s v="AR20793"/>
    <x v="4"/>
    <d v="2026-04-20T00:00:00"/>
    <d v="2026-06-01T00:00:00"/>
    <n v="200.4"/>
    <n v="0"/>
    <x v="1"/>
  </r>
  <r>
    <s v="AR20794"/>
    <x v="2"/>
    <d v="2025-08-23T00:00:00"/>
    <d v="2025-10-03T00:00:00"/>
    <n v="1095.1199999999999"/>
    <n v="88"/>
    <x v="4"/>
  </r>
  <r>
    <s v="AR20795"/>
    <x v="0"/>
    <d v="2025-02-15T00:00:00"/>
    <d v="2025-03-28T00:00:00"/>
    <n v="674.83"/>
    <n v="223"/>
    <x v="0"/>
  </r>
  <r>
    <s v="AR20796"/>
    <x v="2"/>
    <d v="2025-10-15T00:00:00"/>
    <d v="2025-11-26T00:00:00"/>
    <n v="631.80999999999995"/>
    <n v="50"/>
    <x v="2"/>
  </r>
  <r>
    <s v="AR20797"/>
    <x v="2"/>
    <d v="2025-10-09T00:00:00"/>
    <d v="2025-11-20T00:00:00"/>
    <n v="6298.56"/>
    <n v="54"/>
    <x v="2"/>
  </r>
  <r>
    <s v="AR20798"/>
    <x v="4"/>
    <d v="2025-02-24T00:00:00"/>
    <d v="2025-04-07T00:00:00"/>
    <n v="340.12"/>
    <n v="217"/>
    <x v="0"/>
  </r>
  <r>
    <s v="AR20799"/>
    <x v="1"/>
    <d v="2025-03-08T00:00:00"/>
    <d v="2025-04-18T00:00:00"/>
    <n v="3782.01"/>
    <n v="208"/>
    <x v="0"/>
  </r>
  <r>
    <s v="AR20802"/>
    <x v="4"/>
    <d v="2025-04-05T00:00:00"/>
    <d v="2025-05-16T00:00:00"/>
    <n v="2705.53"/>
    <n v="188"/>
    <x v="0"/>
  </r>
  <r>
    <s v="AR20804"/>
    <x v="4"/>
    <d v="2026-04-07T00:00:00"/>
    <d v="2026-05-19T00:00:00"/>
    <n v="1545.02"/>
    <n v="0"/>
    <x v="1"/>
  </r>
  <r>
    <s v="AR20805"/>
    <x v="4"/>
    <d v="2025-10-13T00:00:00"/>
    <d v="2025-11-24T00:00:00"/>
    <n v="2254.5500000000002"/>
    <n v="52"/>
    <x v="2"/>
  </r>
  <r>
    <s v="AR20808"/>
    <x v="4"/>
    <d v="2025-08-03T00:00:00"/>
    <d v="2025-09-12T00:00:00"/>
    <n v="4568.71"/>
    <n v="103"/>
    <x v="0"/>
  </r>
  <r>
    <s v="AR20811"/>
    <x v="4"/>
    <d v="2025-02-28T00:00:00"/>
    <d v="2025-04-11T00:00:00"/>
    <n v="6487.26"/>
    <n v="213"/>
    <x v="0"/>
  </r>
  <r>
    <s v="AR20812"/>
    <x v="1"/>
    <d v="2025-10-27T00:00:00"/>
    <d v="2025-12-08T00:00:00"/>
    <n v="4068.12"/>
    <n v="42"/>
    <x v="2"/>
  </r>
  <r>
    <s v="AR20813"/>
    <x v="3"/>
    <d v="2025-12-05T00:00:00"/>
    <d v="2026-01-16T00:00:00"/>
    <n v="6480.06"/>
    <n v="13"/>
    <x v="3"/>
  </r>
  <r>
    <s v="AR20814"/>
    <x v="0"/>
    <d v="2025-08-13T00:00:00"/>
    <d v="2025-09-24T00:00:00"/>
    <n v="3518.68"/>
    <n v="95"/>
    <x v="0"/>
  </r>
  <r>
    <s v="AR20815"/>
    <x v="0"/>
    <d v="2025-01-13T00:00:00"/>
    <d v="2025-02-24T00:00:00"/>
    <n v="4965.96"/>
    <n v="247"/>
    <x v="0"/>
  </r>
  <r>
    <s v="AR20816"/>
    <x v="1"/>
    <d v="2025-12-31T00:00:00"/>
    <d v="2026-02-11T00:00:00"/>
    <n v="4868.8900000000003"/>
    <n v="0"/>
    <x v="1"/>
  </r>
  <r>
    <s v="AR20819"/>
    <x v="4"/>
    <d v="2026-06-06T00:00:00"/>
    <d v="2026-07-17T00:00:00"/>
    <n v="5185.96"/>
    <n v="0"/>
    <x v="1"/>
  </r>
  <r>
    <s v="AR20820"/>
    <x v="1"/>
    <d v="2025-01-11T00:00:00"/>
    <d v="2025-02-21T00:00:00"/>
    <n v="4303.5600000000004"/>
    <n v="248"/>
    <x v="0"/>
  </r>
  <r>
    <s v="AR20821"/>
    <x v="0"/>
    <d v="2025-07-01T00:00:00"/>
    <d v="2025-08-12T00:00:00"/>
    <n v="6011.5"/>
    <n v="126"/>
    <x v="0"/>
  </r>
  <r>
    <s v="AR20822"/>
    <x v="2"/>
    <d v="2026-01-15T00:00:00"/>
    <d v="2026-02-26T00:00:00"/>
    <n v="3111.71"/>
    <n v="0"/>
    <x v="1"/>
  </r>
  <r>
    <s v="AR20823"/>
    <x v="3"/>
    <d v="2025-11-22T00:00:00"/>
    <d v="2026-01-02T00:00:00"/>
    <n v="7891.74"/>
    <n v="23"/>
    <x v="3"/>
  </r>
  <r>
    <s v="AR20824"/>
    <x v="4"/>
    <d v="2025-12-25T00:00:00"/>
    <d v="2026-02-05T00:00:00"/>
    <n v="4155.67"/>
    <n v="0"/>
    <x v="1"/>
  </r>
  <r>
    <s v="AR20825"/>
    <x v="2"/>
    <d v="2025-08-20T00:00:00"/>
    <d v="2025-10-01T00:00:00"/>
    <n v="3416.11"/>
    <n v="90"/>
    <x v="4"/>
  </r>
  <r>
    <s v="AR20826"/>
    <x v="3"/>
    <d v="2026-04-21T00:00:00"/>
    <d v="2026-06-02T00:00:00"/>
    <n v="3101.41"/>
    <n v="0"/>
    <x v="1"/>
  </r>
  <r>
    <s v="AR20827"/>
    <x v="4"/>
    <d v="2026-06-20T00:00:00"/>
    <d v="2026-07-31T00:00:00"/>
    <n v="4340.3100000000004"/>
    <n v="0"/>
    <x v="1"/>
  </r>
  <r>
    <s v="AR20829"/>
    <x v="0"/>
    <d v="2026-06-28T00:00:00"/>
    <d v="2026-08-07T00:00:00"/>
    <n v="6109.5"/>
    <n v="0"/>
    <x v="1"/>
  </r>
  <r>
    <s v="AR20830"/>
    <x v="3"/>
    <d v="2026-01-05T00:00:00"/>
    <d v="2026-02-16T00:00:00"/>
    <n v="5463.95"/>
    <n v="0"/>
    <x v="1"/>
  </r>
  <r>
    <s v="AR20832"/>
    <x v="3"/>
    <d v="2025-03-09T00:00:00"/>
    <d v="2025-04-18T00:00:00"/>
    <n v="5529.68"/>
    <n v="208"/>
    <x v="0"/>
  </r>
  <r>
    <s v="AR20835"/>
    <x v="4"/>
    <d v="2025-01-09T00:00:00"/>
    <d v="2025-02-20T00:00:00"/>
    <n v="1546.25"/>
    <n v="249"/>
    <x v="0"/>
  </r>
  <r>
    <s v="AR20836"/>
    <x v="2"/>
    <d v="2026-04-28T00:00:00"/>
    <d v="2026-06-09T00:00:00"/>
    <n v="6604.35"/>
    <n v="0"/>
    <x v="1"/>
  </r>
  <r>
    <s v="AR20837"/>
    <x v="3"/>
    <d v="2025-01-24T00:00:00"/>
    <d v="2025-03-07T00:00:00"/>
    <n v="2420.27"/>
    <n v="238"/>
    <x v="0"/>
  </r>
  <r>
    <s v="AR20838"/>
    <x v="4"/>
    <d v="2025-10-24T00:00:00"/>
    <d v="2025-12-05T00:00:00"/>
    <n v="4890.76"/>
    <n v="43"/>
    <x v="2"/>
  </r>
  <r>
    <s v="AR20839"/>
    <x v="0"/>
    <d v="2025-02-07T00:00:00"/>
    <d v="2025-03-21T00:00:00"/>
    <n v="5733.98"/>
    <n v="228"/>
    <x v="0"/>
  </r>
  <r>
    <s v="AR20842"/>
    <x v="1"/>
    <d v="2026-02-27T00:00:00"/>
    <d v="2026-04-10T00:00:00"/>
    <n v="6136.41"/>
    <n v="0"/>
    <x v="1"/>
  </r>
  <r>
    <s v="AR20843"/>
    <x v="1"/>
    <d v="2025-01-23T00:00:00"/>
    <d v="2025-03-06T00:00:00"/>
    <n v="679.54"/>
    <n v="239"/>
    <x v="0"/>
  </r>
  <r>
    <s v="AR20844"/>
    <x v="4"/>
    <d v="2025-02-09T00:00:00"/>
    <d v="2025-03-21T00:00:00"/>
    <n v="6397.31"/>
    <n v="228"/>
    <x v="0"/>
  </r>
  <r>
    <s v="AR20847"/>
    <x v="1"/>
    <d v="2025-10-23T00:00:00"/>
    <d v="2025-12-04T00:00:00"/>
    <n v="4671.99"/>
    <n v="44"/>
    <x v="2"/>
  </r>
  <r>
    <s v="AR20848"/>
    <x v="0"/>
    <d v="2025-01-14T00:00:00"/>
    <d v="2025-02-25T00:00:00"/>
    <n v="4213.26"/>
    <n v="246"/>
    <x v="0"/>
  </r>
  <r>
    <s v="AR20849"/>
    <x v="3"/>
    <d v="2025-05-01T00:00:00"/>
    <d v="2025-06-12T00:00:00"/>
    <n v="7245.84"/>
    <n v="169"/>
    <x v="0"/>
  </r>
  <r>
    <s v="AR20850"/>
    <x v="0"/>
    <d v="2025-08-17T00:00:00"/>
    <d v="2025-09-26T00:00:00"/>
    <n v="3490.61"/>
    <n v="93"/>
    <x v="0"/>
  </r>
  <r>
    <s v="AR20851"/>
    <x v="4"/>
    <d v="2025-11-26T00:00:00"/>
    <d v="2026-01-07T00:00:00"/>
    <n v="4514.91"/>
    <n v="20"/>
    <x v="3"/>
  </r>
  <r>
    <s v="AR20853"/>
    <x v="0"/>
    <d v="2025-01-09T00:00:00"/>
    <d v="2025-02-20T00:00:00"/>
    <n v="860.68"/>
    <n v="249"/>
    <x v="0"/>
  </r>
  <r>
    <s v="AR20854"/>
    <x v="3"/>
    <d v="2026-05-17T00:00:00"/>
    <d v="2026-06-26T00:00:00"/>
    <n v="3179.28"/>
    <n v="0"/>
    <x v="1"/>
  </r>
  <r>
    <s v="AR20856"/>
    <x v="2"/>
    <d v="2025-11-28T00:00:00"/>
    <d v="2026-01-09T00:00:00"/>
    <n v="267.24"/>
    <n v="18"/>
    <x v="3"/>
  </r>
  <r>
    <s v="AR20858"/>
    <x v="3"/>
    <d v="2025-08-30T00:00:00"/>
    <d v="2025-10-10T00:00:00"/>
    <n v="5155.55"/>
    <n v="83"/>
    <x v="4"/>
  </r>
  <r>
    <s v="AR20859"/>
    <x v="4"/>
    <d v="2025-11-14T00:00:00"/>
    <d v="2025-12-26T00:00:00"/>
    <n v="5605.91"/>
    <n v="28"/>
    <x v="3"/>
  </r>
  <r>
    <s v="AR20860"/>
    <x v="0"/>
    <d v="2026-02-06T00:00:00"/>
    <d v="2026-03-20T00:00:00"/>
    <n v="6041.09"/>
    <n v="0"/>
    <x v="1"/>
  </r>
  <r>
    <s v="AR20861"/>
    <x v="4"/>
    <d v="2025-01-26T00:00:00"/>
    <d v="2025-03-07T00:00:00"/>
    <n v="4640.58"/>
    <n v="238"/>
    <x v="0"/>
  </r>
  <r>
    <s v="AR20862"/>
    <x v="3"/>
    <d v="2025-02-15T00:00:00"/>
    <d v="2025-03-28T00:00:00"/>
    <n v="733.3"/>
    <n v="223"/>
    <x v="0"/>
  </r>
  <r>
    <s v="AR20865"/>
    <x v="4"/>
    <d v="2025-07-17T00:00:00"/>
    <d v="2025-08-28T00:00:00"/>
    <n v="3219.89"/>
    <n v="114"/>
    <x v="0"/>
  </r>
  <r>
    <s v="AR20866"/>
    <x v="3"/>
    <d v="2025-08-30T00:00:00"/>
    <d v="2025-10-10T00:00:00"/>
    <n v="2856.82"/>
    <n v="83"/>
    <x v="4"/>
  </r>
  <r>
    <s v="AR20867"/>
    <x v="1"/>
    <d v="2025-09-29T00:00:00"/>
    <d v="2025-11-10T00:00:00"/>
    <n v="4095.19"/>
    <n v="62"/>
    <x v="4"/>
  </r>
  <r>
    <s v="AR20868"/>
    <x v="3"/>
    <d v="2025-10-25T00:00:00"/>
    <d v="2025-12-05T00:00:00"/>
    <n v="7507.98"/>
    <n v="43"/>
    <x v="2"/>
  </r>
  <r>
    <s v="AR20869"/>
    <x v="2"/>
    <d v="2026-02-18T00:00:00"/>
    <d v="2026-04-01T00:00:00"/>
    <n v="2271.23"/>
    <n v="0"/>
    <x v="1"/>
  </r>
  <r>
    <s v="AR20870"/>
    <x v="2"/>
    <d v="2025-05-31T00:00:00"/>
    <d v="2025-07-11T00:00:00"/>
    <n v="4290.32"/>
    <n v="148"/>
    <x v="0"/>
  </r>
  <r>
    <s v="AR20871"/>
    <x v="2"/>
    <d v="2025-08-28T00:00:00"/>
    <d v="2025-10-09T00:00:00"/>
    <n v="3562.01"/>
    <n v="84"/>
    <x v="4"/>
  </r>
  <r>
    <s v="AR20872"/>
    <x v="4"/>
    <d v="2025-05-01T00:00:00"/>
    <d v="2025-06-12T00:00:00"/>
    <n v="2117.4699999999998"/>
    <n v="169"/>
    <x v="0"/>
  </r>
  <r>
    <s v="AR20874"/>
    <x v="0"/>
    <d v="2025-12-04T00:00:00"/>
    <d v="2026-01-15T00:00:00"/>
    <n v="3933.4"/>
    <n v="14"/>
    <x v="3"/>
  </r>
  <r>
    <s v="AR20876"/>
    <x v="1"/>
    <d v="2025-11-23T00:00:00"/>
    <d v="2026-01-02T00:00:00"/>
    <n v="3365.08"/>
    <n v="23"/>
    <x v="3"/>
  </r>
  <r>
    <s v="AR20877"/>
    <x v="3"/>
    <d v="2025-09-02T00:00:00"/>
    <d v="2025-10-14T00:00:00"/>
    <n v="7336.13"/>
    <n v="81"/>
    <x v="4"/>
  </r>
  <r>
    <s v="AR20878"/>
    <x v="1"/>
    <d v="2025-03-23T00:00:00"/>
    <d v="2025-05-02T00:00:00"/>
    <n v="5117.88"/>
    <n v="198"/>
    <x v="0"/>
  </r>
  <r>
    <s v="AR20879"/>
    <x v="2"/>
    <d v="2025-01-31T00:00:00"/>
    <d v="2025-03-14T00:00:00"/>
    <n v="6307.06"/>
    <n v="233"/>
    <x v="0"/>
  </r>
  <r>
    <s v="AR20880"/>
    <x v="1"/>
    <d v="2025-01-03T00:00:00"/>
    <d v="2025-02-14T00:00:00"/>
    <n v="7493.25"/>
    <n v="253"/>
    <x v="0"/>
  </r>
  <r>
    <s v="AR20881"/>
    <x v="2"/>
    <d v="2026-06-05T00:00:00"/>
    <d v="2026-07-17T00:00:00"/>
    <n v="1666.55"/>
    <n v="0"/>
    <x v="1"/>
  </r>
  <r>
    <s v="AR20884"/>
    <x v="3"/>
    <d v="2025-04-11T00:00:00"/>
    <d v="2025-05-23T00:00:00"/>
    <n v="7661.86"/>
    <n v="183"/>
    <x v="0"/>
  </r>
  <r>
    <s v="AR20887"/>
    <x v="2"/>
    <d v="2025-03-03T00:00:00"/>
    <d v="2025-04-14T00:00:00"/>
    <n v="7168.62"/>
    <n v="212"/>
    <x v="0"/>
  </r>
  <r>
    <s v="AR20889"/>
    <x v="1"/>
    <d v="2025-01-27T00:00:00"/>
    <d v="2025-03-10T00:00:00"/>
    <n v="4387.1099999999997"/>
    <n v="237"/>
    <x v="0"/>
  </r>
  <r>
    <s v="AR20890"/>
    <x v="4"/>
    <d v="2025-02-28T00:00:00"/>
    <d v="2025-04-11T00:00:00"/>
    <n v="5828.29"/>
    <n v="213"/>
    <x v="0"/>
  </r>
  <r>
    <s v="AR20892"/>
    <x v="4"/>
    <d v="2025-05-18T00:00:00"/>
    <d v="2025-06-27T00:00:00"/>
    <n v="1980.71"/>
    <n v="158"/>
    <x v="0"/>
  </r>
  <r>
    <s v="AR20893"/>
    <x v="4"/>
    <d v="2026-05-19T00:00:00"/>
    <d v="2026-06-30T00:00:00"/>
    <n v="4129.08"/>
    <n v="0"/>
    <x v="1"/>
  </r>
  <r>
    <s v="AR20895"/>
    <x v="1"/>
    <d v="2026-01-22T00:00:00"/>
    <d v="2026-03-05T00:00:00"/>
    <n v="2056.42"/>
    <n v="0"/>
    <x v="1"/>
  </r>
  <r>
    <s v="AR20898"/>
    <x v="2"/>
    <d v="2025-12-17T00:00:00"/>
    <d v="2026-01-28T00:00:00"/>
    <n v="3136.3"/>
    <n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B60700-9F94-4735-BBFA-7CF818DB8805}"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colHeaderCaption="aging_category">
  <location ref="A3:G8" firstHeaderRow="1" firstDataRow="2" firstDataCol="1"/>
  <pivotFields count="7">
    <pivotField showAll="0"/>
    <pivotField axis="axisRow" showAll="0">
      <items count="6">
        <item x="4"/>
        <item x="3"/>
        <item h="1" x="2"/>
        <item h="1" x="0"/>
        <item x="1"/>
        <item t="default"/>
      </items>
    </pivotField>
    <pivotField numFmtId="14" showAll="0"/>
    <pivotField numFmtId="14" showAll="0"/>
    <pivotField dataField="1" numFmtId="166" showAll="0"/>
    <pivotField showAll="0"/>
    <pivotField axis="axisCol" showAll="0">
      <items count="6">
        <item x="1"/>
        <item x="3"/>
        <item x="2"/>
        <item x="4"/>
        <item x="0"/>
        <item t="default"/>
      </items>
    </pivotField>
  </pivotFields>
  <rowFields count="1">
    <field x="1"/>
  </rowFields>
  <rowItems count="4">
    <i>
      <x/>
    </i>
    <i>
      <x v="1"/>
    </i>
    <i>
      <x v="4"/>
    </i>
    <i t="grand">
      <x/>
    </i>
  </rowItems>
  <colFields count="1">
    <field x="6"/>
  </colFields>
  <colItems count="6">
    <i>
      <x/>
    </i>
    <i>
      <x v="1"/>
    </i>
    <i>
      <x v="2"/>
    </i>
    <i>
      <x v="3"/>
    </i>
    <i>
      <x v="4"/>
    </i>
    <i t="grand">
      <x/>
    </i>
  </colItems>
  <dataFields count="1">
    <dataField name="Sum of amount" fld="4" baseField="0" baseItem="0" numFmtId="166"/>
  </dataField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5D80176C-50C0-42CE-B68F-C562456B8546}" sourceName="customer">
  <pivotTables>
    <pivotTable tabId="2" name="PivotTable1"/>
  </pivotTables>
  <data>
    <tabular pivotCacheId="1409448744">
      <items count="5">
        <i x="4" s="1"/>
        <i x="3" s="1"/>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75F56240-4235-4CCE-8FDD-888D93ACAF03}" cache="Slicer_customer" caption="custom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BF2962-DE1D-42DD-8B41-5BB7AC45DA9B}" name="Table4" displayName="Table4" ref="I3:J8" totalsRowShown="0">
  <autoFilter ref="I3:J8" xr:uid="{11BF2962-DE1D-42DD-8B41-5BB7AC45DA9B}"/>
  <tableColumns count="2">
    <tableColumn id="1" xr3:uid="{F39E95C0-A6F6-4D3C-969C-1D3CF6712897}" name="due_days"/>
    <tableColumn id="2" xr3:uid="{8F40181B-E4F5-4109-96BB-A8425E254FC7}" name="aging_catego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1CCC3D-0BF0-47E9-9856-57993455FA51}" name="AR_table" displayName="AR_table" ref="A1:G600" totalsRowShown="0" headerRowDxfId="1" dataDxfId="2" tableBorderDxfId="9">
  <autoFilter ref="A1:G600" xr:uid="{EF1CCC3D-0BF0-47E9-9856-57993455FA51}"/>
  <tableColumns count="7">
    <tableColumn id="1" xr3:uid="{3F5876D2-7499-4B3A-9424-760A2C55AEAD}" name="ar_id" dataDxfId="8"/>
    <tableColumn id="2" xr3:uid="{3D03A48D-08CD-46BA-BBDA-49B2607AD41A}" name="customer" dataDxfId="7"/>
    <tableColumn id="3" xr3:uid="{4583ECAF-F4D9-4DC4-A586-6FAC62EF60C5}" name="invoice_date" dataDxfId="6"/>
    <tableColumn id="4" xr3:uid="{ED88B978-8CE6-44D7-94D2-D5DA47DF02ED}" name="due_date" dataDxfId="5">
      <calculatedColumnFormula>WORKDAY(AR_age_category!$C2,$J$1)</calculatedColumnFormula>
    </tableColumn>
    <tableColumn id="5" xr3:uid="{865B01AC-91C3-4E1A-9331-E17D4E4550FA}" name="amount" dataDxfId="4"/>
    <tableColumn id="8" xr3:uid="{A24650F8-25EE-4FC0-BC98-EE02D0B8444D}" name="past_due_days" dataDxfId="0">
      <calculatedColumnFormula>IF(AR_table[[#This Row],[due_date]]&gt;=TODAY(),0,NETWORKDAYS(AR_table[[#This Row],[due_date]],TODAY()))</calculatedColumnFormula>
    </tableColumn>
    <tableColumn id="9" xr3:uid="{DCDE0BB2-3DA6-4FB4-AF9E-3D8923ECD7F3}" name="aging_category" dataDxfId="3">
      <calculatedColumnFormula>VLOOKUP(AR_age_category!$F2,Table4[#All],2)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D2FFB-A971-4448-BD59-230BC0C0909B}">
  <dimension ref="A3:G8"/>
  <sheetViews>
    <sheetView workbookViewId="0">
      <selection activeCell="I9" sqref="I9"/>
    </sheetView>
  </sheetViews>
  <sheetFormatPr defaultRowHeight="14.4" x14ac:dyDescent="0.3"/>
  <cols>
    <col min="1" max="1" width="14.21875" bestFit="1" customWidth="1"/>
    <col min="2" max="2" width="16.21875" bestFit="1" customWidth="1"/>
    <col min="3" max="6" width="11.5546875" bestFit="1" customWidth="1"/>
    <col min="7" max="7" width="13.21875" bestFit="1" customWidth="1"/>
  </cols>
  <sheetData>
    <row r="3" spans="1:7" x14ac:dyDescent="0.3">
      <c r="A3" s="23" t="s">
        <v>611</v>
      </c>
      <c r="B3" s="23" t="s">
        <v>603</v>
      </c>
    </row>
    <row r="4" spans="1:7" x14ac:dyDescent="0.3">
      <c r="A4" s="23" t="s">
        <v>598</v>
      </c>
      <c r="B4" t="s">
        <v>605</v>
      </c>
      <c r="C4" t="s">
        <v>610</v>
      </c>
      <c r="D4" t="s">
        <v>607</v>
      </c>
      <c r="E4" t="s">
        <v>608</v>
      </c>
      <c r="F4" t="s">
        <v>609</v>
      </c>
      <c r="G4" t="s">
        <v>612</v>
      </c>
    </row>
    <row r="5" spans="1:7" x14ac:dyDescent="0.3">
      <c r="A5" s="24" t="s">
        <v>593</v>
      </c>
      <c r="B5" s="3">
        <v>109484.82999999997</v>
      </c>
      <c r="C5" s="3">
        <v>36833.1</v>
      </c>
      <c r="D5" s="3">
        <v>37107.85</v>
      </c>
      <c r="E5" s="3">
        <v>46642.11</v>
      </c>
      <c r="F5" s="3">
        <v>215517.41</v>
      </c>
      <c r="G5" s="3">
        <v>445585.29999999993</v>
      </c>
    </row>
    <row r="6" spans="1:7" x14ac:dyDescent="0.3">
      <c r="A6" s="24" t="s">
        <v>595</v>
      </c>
      <c r="B6" s="3">
        <v>85089.760000000009</v>
      </c>
      <c r="C6" s="3">
        <v>51103.68</v>
      </c>
      <c r="D6" s="3">
        <v>51459.38</v>
      </c>
      <c r="E6" s="3">
        <v>41920.229999999989</v>
      </c>
      <c r="F6" s="3">
        <v>280473.53999999992</v>
      </c>
      <c r="G6" s="3">
        <v>510046.58999999991</v>
      </c>
    </row>
    <row r="7" spans="1:7" x14ac:dyDescent="0.3">
      <c r="A7" s="24" t="s">
        <v>592</v>
      </c>
      <c r="B7" s="3">
        <v>97593.03</v>
      </c>
      <c r="C7" s="3">
        <v>45892.85</v>
      </c>
      <c r="D7" s="3">
        <v>61078.299999999988</v>
      </c>
      <c r="E7" s="3">
        <v>61620.59</v>
      </c>
      <c r="F7" s="3">
        <v>180971.86</v>
      </c>
      <c r="G7" s="3">
        <v>447156.63</v>
      </c>
    </row>
    <row r="8" spans="1:7" x14ac:dyDescent="0.3">
      <c r="A8" s="24" t="s">
        <v>612</v>
      </c>
      <c r="B8" s="3">
        <v>292167.62</v>
      </c>
      <c r="C8" s="3">
        <v>133829.63</v>
      </c>
      <c r="D8" s="3">
        <v>149645.52999999997</v>
      </c>
      <c r="E8" s="3">
        <v>150182.93</v>
      </c>
      <c r="F8" s="3">
        <v>676962.80999999994</v>
      </c>
      <c r="G8" s="3">
        <v>1402788.52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0"/>
  <sheetViews>
    <sheetView tabSelected="1" zoomScale="70" zoomScaleNormal="70" workbookViewId="0">
      <selection activeCell="F2" sqref="F2"/>
    </sheetView>
  </sheetViews>
  <sheetFormatPr defaultRowHeight="14.4" x14ac:dyDescent="0.3"/>
  <cols>
    <col min="1" max="1" width="10.6640625" bestFit="1" customWidth="1"/>
    <col min="2" max="2" width="14.88671875" bestFit="1" customWidth="1"/>
    <col min="3" max="3" width="16.77734375" style="1" bestFit="1" customWidth="1"/>
    <col min="4" max="4" width="14" style="1" bestFit="1" customWidth="1"/>
    <col min="5" max="5" width="13.44140625" style="3" bestFit="1" customWidth="1"/>
    <col min="6" max="6" width="18.5546875" bestFit="1" customWidth="1"/>
    <col min="7" max="7" width="19.5546875" bestFit="1" customWidth="1"/>
    <col min="9" max="9" width="17.77734375" bestFit="1" customWidth="1"/>
    <col min="10" max="10" width="15.88671875" customWidth="1"/>
  </cols>
  <sheetData>
    <row r="1" spans="1:10" x14ac:dyDescent="0.3">
      <c r="A1" s="17" t="s">
        <v>597</v>
      </c>
      <c r="B1" s="17" t="s">
        <v>598</v>
      </c>
      <c r="C1" s="18" t="s">
        <v>599</v>
      </c>
      <c r="D1" s="18" t="s">
        <v>600</v>
      </c>
      <c r="E1" s="19" t="s">
        <v>601</v>
      </c>
      <c r="F1" s="17" t="s">
        <v>602</v>
      </c>
      <c r="G1" s="20" t="s">
        <v>603</v>
      </c>
      <c r="I1" s="5" t="s">
        <v>596</v>
      </c>
      <c r="J1">
        <v>30</v>
      </c>
    </row>
    <row r="2" spans="1:10" x14ac:dyDescent="0.3">
      <c r="A2" s="7" t="s">
        <v>0</v>
      </c>
      <c r="B2" s="8" t="s">
        <v>591</v>
      </c>
      <c r="C2" s="9">
        <v>45888</v>
      </c>
      <c r="D2" s="9">
        <f>WORKDAY(AR_age_category!$C2,$J$1)</f>
        <v>45930</v>
      </c>
      <c r="E2" s="10">
        <v>6160.48</v>
      </c>
      <c r="F2" s="21">
        <f ca="1">IF(AR_table[[#This Row],[due_date]]&gt;=TODAY(),0,NETWORKDAYS(AR_table[[#This Row],[due_date]],TODAY()))</f>
        <v>91</v>
      </c>
      <c r="G2" s="8" t="str">
        <f ca="1">VLOOKUP(AR_age_category!$F2,Table4[#All],2)</f>
        <v>&gt;90</v>
      </c>
    </row>
    <row r="3" spans="1:10" x14ac:dyDescent="0.3">
      <c r="A3" s="11" t="s">
        <v>1</v>
      </c>
      <c r="B3" s="2" t="s">
        <v>592</v>
      </c>
      <c r="C3" s="12">
        <v>46113</v>
      </c>
      <c r="D3" s="12">
        <f>WORKDAY(AR_age_category!$C3,$J$1)</f>
        <v>46155</v>
      </c>
      <c r="E3" s="13">
        <v>995.04</v>
      </c>
      <c r="F3" s="21">
        <f ca="1">IF(AR_table[[#This Row],[due_date]]&gt;=TODAY(),0,NETWORKDAYS(AR_table[[#This Row],[due_date]],TODAY()))</f>
        <v>0</v>
      </c>
      <c r="G3" s="2" t="str">
        <f ca="1">VLOOKUP(AR_age_category!$F3,Table4[#All],2)</f>
        <v>Not due</v>
      </c>
      <c r="I3" t="s">
        <v>604</v>
      </c>
      <c r="J3" t="s">
        <v>603</v>
      </c>
    </row>
    <row r="4" spans="1:10" x14ac:dyDescent="0.3">
      <c r="A4" s="14" t="s">
        <v>2</v>
      </c>
      <c r="B4" s="4" t="s">
        <v>591</v>
      </c>
      <c r="C4" s="15">
        <v>46016</v>
      </c>
      <c r="D4" s="15">
        <f>WORKDAY(AR_age_category!$C4,$J$1)</f>
        <v>46058</v>
      </c>
      <c r="E4" s="16">
        <v>3936.29</v>
      </c>
      <c r="F4" s="21">
        <f ca="1">IF(AR_table[[#This Row],[due_date]]&gt;=TODAY(),0,NETWORKDAYS(AR_table[[#This Row],[due_date]],TODAY()))</f>
        <v>0</v>
      </c>
      <c r="G4" s="4" t="str">
        <f ca="1">VLOOKUP(AR_age_category!$F4,Table4[#All],2)</f>
        <v>Not due</v>
      </c>
      <c r="I4">
        <v>0</v>
      </c>
      <c r="J4" t="s">
        <v>605</v>
      </c>
    </row>
    <row r="5" spans="1:10" x14ac:dyDescent="0.3">
      <c r="A5" s="11" t="s">
        <v>3</v>
      </c>
      <c r="B5" s="2" t="s">
        <v>594</v>
      </c>
      <c r="C5" s="12">
        <v>45806</v>
      </c>
      <c r="D5" s="12">
        <f>WORKDAY(AR_age_category!$C5,$J$1)</f>
        <v>45848</v>
      </c>
      <c r="E5" s="13">
        <v>6985.23</v>
      </c>
      <c r="F5" s="21">
        <f ca="1">IF(AR_table[[#This Row],[due_date]]&gt;=TODAY(),0,NETWORKDAYS(AR_table[[#This Row],[due_date]],TODAY()))</f>
        <v>149</v>
      </c>
      <c r="G5" s="2" t="str">
        <f ca="1">VLOOKUP(AR_age_category!$F5,Table4[#All],2)</f>
        <v>&gt;90</v>
      </c>
      <c r="I5">
        <v>1</v>
      </c>
      <c r="J5" s="22" t="s">
        <v>606</v>
      </c>
    </row>
    <row r="6" spans="1:10" x14ac:dyDescent="0.3">
      <c r="A6" s="11" t="s">
        <v>4</v>
      </c>
      <c r="B6" s="2" t="s">
        <v>595</v>
      </c>
      <c r="C6" s="12">
        <v>45964</v>
      </c>
      <c r="D6" s="12">
        <f>WORKDAY(AR_age_category!$C6,$J$1)</f>
        <v>46006</v>
      </c>
      <c r="E6" s="13">
        <v>4099.3</v>
      </c>
      <c r="F6" s="21">
        <f ca="1">IF(AR_table[[#This Row],[due_date]]&gt;=TODAY(),0,NETWORKDAYS(AR_table[[#This Row],[due_date]],TODAY()))</f>
        <v>37</v>
      </c>
      <c r="G6" s="2" t="str">
        <f ca="1">VLOOKUP(AR_age_category!$F6,Table4[#All],2)</f>
        <v>31-60</v>
      </c>
      <c r="I6" s="6">
        <v>31</v>
      </c>
      <c r="J6" s="6" t="s">
        <v>607</v>
      </c>
    </row>
    <row r="7" spans="1:10" x14ac:dyDescent="0.3">
      <c r="A7" s="11" t="s">
        <v>5</v>
      </c>
      <c r="B7" s="2" t="s">
        <v>595</v>
      </c>
      <c r="C7" s="12">
        <v>46002</v>
      </c>
      <c r="D7" s="12">
        <f>WORKDAY(AR_age_category!$C7,$J$1)</f>
        <v>46044</v>
      </c>
      <c r="E7" s="13">
        <v>2670.06</v>
      </c>
      <c r="F7" s="21">
        <f ca="1">IF(AR_table[[#This Row],[due_date]]&gt;=TODAY(),0,NETWORKDAYS(AR_table[[#This Row],[due_date]],TODAY()))</f>
        <v>9</v>
      </c>
      <c r="G7" s="2" t="str">
        <f ca="1">VLOOKUP(AR_age_category!$F7,Table4[#All],2)</f>
        <v>1-30</v>
      </c>
      <c r="I7">
        <v>61</v>
      </c>
      <c r="J7" t="s">
        <v>608</v>
      </c>
    </row>
    <row r="8" spans="1:10" x14ac:dyDescent="0.3">
      <c r="A8" s="14" t="s">
        <v>6</v>
      </c>
      <c r="B8" s="4" t="s">
        <v>593</v>
      </c>
      <c r="C8" s="15">
        <v>45894</v>
      </c>
      <c r="D8" s="15">
        <f>WORKDAY(AR_age_category!$C8,$J$1)</f>
        <v>45936</v>
      </c>
      <c r="E8" s="16">
        <v>3602.98</v>
      </c>
      <c r="F8" s="21">
        <f ca="1">IF(AR_table[[#This Row],[due_date]]&gt;=TODAY(),0,NETWORKDAYS(AR_table[[#This Row],[due_date]],TODAY()))</f>
        <v>87</v>
      </c>
      <c r="G8" s="4" t="str">
        <f ca="1">VLOOKUP(AR_age_category!$F8,Table4[#All],2)</f>
        <v>61-90</v>
      </c>
      <c r="I8">
        <v>91</v>
      </c>
      <c r="J8" t="s">
        <v>609</v>
      </c>
    </row>
    <row r="9" spans="1:10" x14ac:dyDescent="0.3">
      <c r="A9" s="11" t="s">
        <v>7</v>
      </c>
      <c r="B9" s="2" t="s">
        <v>592</v>
      </c>
      <c r="C9" s="12">
        <v>45996</v>
      </c>
      <c r="D9" s="12">
        <f>WORKDAY(AR_age_category!$C9,$J$1)</f>
        <v>46038</v>
      </c>
      <c r="E9" s="13">
        <v>1107.56</v>
      </c>
      <c r="F9" s="21">
        <f ca="1">IF(AR_table[[#This Row],[due_date]]&gt;=TODAY(),0,NETWORKDAYS(AR_table[[#This Row],[due_date]],TODAY()))</f>
        <v>13</v>
      </c>
      <c r="G9" s="2" t="str">
        <f ca="1">VLOOKUP(AR_age_category!$F9,Table4[#All],2)</f>
        <v>1-30</v>
      </c>
    </row>
    <row r="10" spans="1:10" x14ac:dyDescent="0.3">
      <c r="A10" s="11" t="s">
        <v>8</v>
      </c>
      <c r="B10" s="2" t="s">
        <v>593</v>
      </c>
      <c r="C10" s="12">
        <v>46085</v>
      </c>
      <c r="D10" s="12">
        <f>WORKDAY(AR_age_category!$C10,$J$1)</f>
        <v>46127</v>
      </c>
      <c r="E10" s="13">
        <v>1209.22</v>
      </c>
      <c r="F10" s="21">
        <f ca="1">IF(AR_table[[#This Row],[due_date]]&gt;=TODAY(),0,NETWORKDAYS(AR_table[[#This Row],[due_date]],TODAY()))</f>
        <v>0</v>
      </c>
      <c r="G10" s="2" t="str">
        <f ca="1">VLOOKUP(AR_age_category!$F10,Table4[#All],2)</f>
        <v>Not due</v>
      </c>
    </row>
    <row r="11" spans="1:10" x14ac:dyDescent="0.3">
      <c r="A11" s="14" t="s">
        <v>9</v>
      </c>
      <c r="B11" s="4" t="s">
        <v>592</v>
      </c>
      <c r="C11" s="15">
        <v>45776</v>
      </c>
      <c r="D11" s="15">
        <f>WORKDAY(AR_age_category!$C11,$J$1)</f>
        <v>45818</v>
      </c>
      <c r="E11" s="16">
        <v>1688.61</v>
      </c>
      <c r="F11" s="21">
        <f ca="1">IF(AR_table[[#This Row],[due_date]]&gt;=TODAY(),0,NETWORKDAYS(AR_table[[#This Row],[due_date]],TODAY()))</f>
        <v>171</v>
      </c>
      <c r="G11" s="4" t="str">
        <f ca="1">VLOOKUP(AR_age_category!$F11,Table4[#All],2)</f>
        <v>&gt;90</v>
      </c>
    </row>
    <row r="12" spans="1:10" x14ac:dyDescent="0.3">
      <c r="A12" s="14" t="s">
        <v>10</v>
      </c>
      <c r="B12" s="4" t="s">
        <v>594</v>
      </c>
      <c r="C12" s="15">
        <v>46158</v>
      </c>
      <c r="D12" s="15">
        <f>WORKDAY(AR_age_category!$C12,$J$1)</f>
        <v>46199</v>
      </c>
      <c r="E12" s="16">
        <v>4357.75</v>
      </c>
      <c r="F12" s="21">
        <f ca="1">IF(AR_table[[#This Row],[due_date]]&gt;=TODAY(),0,NETWORKDAYS(AR_table[[#This Row],[due_date]],TODAY()))</f>
        <v>0</v>
      </c>
      <c r="G12" s="4" t="str">
        <f ca="1">VLOOKUP(AR_age_category!$F12,Table4[#All],2)</f>
        <v>Not due</v>
      </c>
    </row>
    <row r="13" spans="1:10" x14ac:dyDescent="0.3">
      <c r="A13" s="14" t="s">
        <v>11</v>
      </c>
      <c r="B13" s="4" t="s">
        <v>593</v>
      </c>
      <c r="C13" s="15">
        <v>45756</v>
      </c>
      <c r="D13" s="15">
        <f>WORKDAY(AR_age_category!$C13,$J$1)</f>
        <v>45798</v>
      </c>
      <c r="E13" s="16">
        <v>3074.66</v>
      </c>
      <c r="F13" s="21">
        <f ca="1">IF(AR_table[[#This Row],[due_date]]&gt;=TODAY(),0,NETWORKDAYS(AR_table[[#This Row],[due_date]],TODAY()))</f>
        <v>185</v>
      </c>
      <c r="G13" s="4" t="str">
        <f ca="1">VLOOKUP(AR_age_category!$F13,Table4[#All],2)</f>
        <v>&gt;90</v>
      </c>
    </row>
    <row r="14" spans="1:10" x14ac:dyDescent="0.3">
      <c r="A14" s="11" t="s">
        <v>12</v>
      </c>
      <c r="B14" s="2" t="s">
        <v>594</v>
      </c>
      <c r="C14" s="12">
        <v>45785</v>
      </c>
      <c r="D14" s="12">
        <f>WORKDAY(AR_age_category!$C14,$J$1)</f>
        <v>45827</v>
      </c>
      <c r="E14" s="13">
        <v>7987.42</v>
      </c>
      <c r="F14" s="21">
        <f ca="1">IF(AR_table[[#This Row],[due_date]]&gt;=TODAY(),0,NETWORKDAYS(AR_table[[#This Row],[due_date]],TODAY()))</f>
        <v>164</v>
      </c>
      <c r="G14" s="2" t="str">
        <f ca="1">VLOOKUP(AR_age_category!$F14,Table4[#All],2)</f>
        <v>&gt;90</v>
      </c>
    </row>
    <row r="15" spans="1:10" x14ac:dyDescent="0.3">
      <c r="A15" s="11" t="s">
        <v>13</v>
      </c>
      <c r="B15" s="2" t="s">
        <v>593</v>
      </c>
      <c r="C15" s="12">
        <v>45846</v>
      </c>
      <c r="D15" s="12">
        <f>WORKDAY(AR_age_category!$C15,$J$1)</f>
        <v>45888</v>
      </c>
      <c r="E15" s="13">
        <v>5384.07</v>
      </c>
      <c r="F15" s="21">
        <f ca="1">IF(AR_table[[#This Row],[due_date]]&gt;=TODAY(),0,NETWORKDAYS(AR_table[[#This Row],[due_date]],TODAY()))</f>
        <v>121</v>
      </c>
      <c r="G15" s="2" t="str">
        <f ca="1">VLOOKUP(AR_age_category!$F15,Table4[#All],2)</f>
        <v>&gt;90</v>
      </c>
    </row>
    <row r="16" spans="1:10" x14ac:dyDescent="0.3">
      <c r="A16" s="14" t="s">
        <v>14</v>
      </c>
      <c r="B16" s="4" t="s">
        <v>591</v>
      </c>
      <c r="C16" s="15">
        <v>45852</v>
      </c>
      <c r="D16" s="15">
        <f>WORKDAY(AR_age_category!$C16,$J$1)</f>
        <v>45894</v>
      </c>
      <c r="E16" s="16">
        <v>5931.01</v>
      </c>
      <c r="F16" s="21">
        <f ca="1">IF(AR_table[[#This Row],[due_date]]&gt;=TODAY(),0,NETWORKDAYS(AR_table[[#This Row],[due_date]],TODAY()))</f>
        <v>117</v>
      </c>
      <c r="G16" s="4" t="str">
        <f ca="1">VLOOKUP(AR_age_category!$F16,Table4[#All],2)</f>
        <v>&gt;90</v>
      </c>
    </row>
    <row r="17" spans="1:7" x14ac:dyDescent="0.3">
      <c r="A17" s="11" t="s">
        <v>15</v>
      </c>
      <c r="B17" s="2" t="s">
        <v>592</v>
      </c>
      <c r="C17" s="12">
        <v>45904</v>
      </c>
      <c r="D17" s="12">
        <f>WORKDAY(AR_age_category!$C17,$J$1)</f>
        <v>45946</v>
      </c>
      <c r="E17" s="13">
        <v>7959.18</v>
      </c>
      <c r="F17" s="21">
        <f ca="1">IF(AR_table[[#This Row],[due_date]]&gt;=TODAY(),0,NETWORKDAYS(AR_table[[#This Row],[due_date]],TODAY()))</f>
        <v>79</v>
      </c>
      <c r="G17" s="2" t="str">
        <f ca="1">VLOOKUP(AR_age_category!$F17,Table4[#All],2)</f>
        <v>61-90</v>
      </c>
    </row>
    <row r="18" spans="1:7" x14ac:dyDescent="0.3">
      <c r="A18" s="14" t="s">
        <v>16</v>
      </c>
      <c r="B18" s="4" t="s">
        <v>595</v>
      </c>
      <c r="C18" s="15">
        <v>45846</v>
      </c>
      <c r="D18" s="15">
        <f>WORKDAY(AR_age_category!$C18,$J$1)</f>
        <v>45888</v>
      </c>
      <c r="E18" s="16">
        <v>5981.13</v>
      </c>
      <c r="F18" s="21">
        <f ca="1">IF(AR_table[[#This Row],[due_date]]&gt;=TODAY(),0,NETWORKDAYS(AR_table[[#This Row],[due_date]],TODAY()))</f>
        <v>121</v>
      </c>
      <c r="G18" s="4" t="str">
        <f ca="1">VLOOKUP(AR_age_category!$F18,Table4[#All],2)</f>
        <v>&gt;90</v>
      </c>
    </row>
    <row r="19" spans="1:7" x14ac:dyDescent="0.3">
      <c r="A19" s="14" t="s">
        <v>17</v>
      </c>
      <c r="B19" s="4" t="s">
        <v>591</v>
      </c>
      <c r="C19" s="15">
        <v>45818</v>
      </c>
      <c r="D19" s="15">
        <f>WORKDAY(AR_age_category!$C19,$J$1)</f>
        <v>45860</v>
      </c>
      <c r="E19" s="16">
        <v>7898.89</v>
      </c>
      <c r="F19" s="21">
        <f ca="1">IF(AR_table[[#This Row],[due_date]]&gt;=TODAY(),0,NETWORKDAYS(AR_table[[#This Row],[due_date]],TODAY()))</f>
        <v>141</v>
      </c>
      <c r="G19" s="4" t="str">
        <f ca="1">VLOOKUP(AR_age_category!$F19,Table4[#All],2)</f>
        <v>&gt;90</v>
      </c>
    </row>
    <row r="20" spans="1:7" x14ac:dyDescent="0.3">
      <c r="A20" s="11" t="s">
        <v>18</v>
      </c>
      <c r="B20" s="2" t="s">
        <v>593</v>
      </c>
      <c r="C20" s="12">
        <v>45911</v>
      </c>
      <c r="D20" s="12">
        <f>WORKDAY(AR_age_category!$C20,$J$1)</f>
        <v>45953</v>
      </c>
      <c r="E20" s="13">
        <v>3210.82</v>
      </c>
      <c r="F20" s="21">
        <f ca="1">IF(AR_table[[#This Row],[due_date]]&gt;=TODAY(),0,NETWORKDAYS(AR_table[[#This Row],[due_date]],TODAY()))</f>
        <v>74</v>
      </c>
      <c r="G20" s="2" t="str">
        <f ca="1">VLOOKUP(AR_age_category!$F20,Table4[#All],2)</f>
        <v>61-90</v>
      </c>
    </row>
    <row r="21" spans="1:7" x14ac:dyDescent="0.3">
      <c r="A21" s="14" t="s">
        <v>19</v>
      </c>
      <c r="B21" s="4" t="s">
        <v>594</v>
      </c>
      <c r="C21" s="15">
        <v>45792</v>
      </c>
      <c r="D21" s="15">
        <f>WORKDAY(AR_age_category!$C21,$J$1)</f>
        <v>45834</v>
      </c>
      <c r="E21" s="16">
        <v>546.96</v>
      </c>
      <c r="F21" s="21">
        <f ca="1">IF(AR_table[[#This Row],[due_date]]&gt;=TODAY(),0,NETWORKDAYS(AR_table[[#This Row],[due_date]],TODAY()))</f>
        <v>159</v>
      </c>
      <c r="G21" s="4" t="str">
        <f ca="1">VLOOKUP(AR_age_category!$F21,Table4[#All],2)</f>
        <v>&gt;90</v>
      </c>
    </row>
    <row r="22" spans="1:7" x14ac:dyDescent="0.3">
      <c r="A22" s="14" t="s">
        <v>20</v>
      </c>
      <c r="B22" s="4" t="s">
        <v>593</v>
      </c>
      <c r="C22" s="15">
        <v>46064</v>
      </c>
      <c r="D22" s="15">
        <f>WORKDAY(AR_age_category!$C22,$J$1)</f>
        <v>46106</v>
      </c>
      <c r="E22" s="16">
        <v>7548.8</v>
      </c>
      <c r="F22" s="21">
        <f ca="1">IF(AR_table[[#This Row],[due_date]]&gt;=TODAY(),0,NETWORKDAYS(AR_table[[#This Row],[due_date]],TODAY()))</f>
        <v>0</v>
      </c>
      <c r="G22" s="4" t="str">
        <f ca="1">VLOOKUP(AR_age_category!$F22,Table4[#All],2)</f>
        <v>Not due</v>
      </c>
    </row>
    <row r="23" spans="1:7" x14ac:dyDescent="0.3">
      <c r="A23" s="11" t="s">
        <v>21</v>
      </c>
      <c r="B23" s="2" t="s">
        <v>591</v>
      </c>
      <c r="C23" s="12">
        <v>45984</v>
      </c>
      <c r="D23" s="12">
        <f>WORKDAY(AR_age_category!$C23,$J$1)</f>
        <v>46024</v>
      </c>
      <c r="E23" s="13">
        <v>634.25</v>
      </c>
      <c r="F23" s="21">
        <f ca="1">IF(AR_table[[#This Row],[due_date]]&gt;=TODAY(),0,NETWORKDAYS(AR_table[[#This Row],[due_date]],TODAY()))</f>
        <v>23</v>
      </c>
      <c r="G23" s="2" t="str">
        <f ca="1">VLOOKUP(AR_age_category!$F23,Table4[#All],2)</f>
        <v>1-30</v>
      </c>
    </row>
    <row r="24" spans="1:7" x14ac:dyDescent="0.3">
      <c r="A24" s="11" t="s">
        <v>22</v>
      </c>
      <c r="B24" s="2" t="s">
        <v>595</v>
      </c>
      <c r="C24" s="12">
        <v>46007</v>
      </c>
      <c r="D24" s="12">
        <f>WORKDAY(AR_age_category!$C24,$J$1)</f>
        <v>46049</v>
      </c>
      <c r="E24" s="13">
        <v>1711.81</v>
      </c>
      <c r="F24" s="21">
        <f ca="1">IF(AR_table[[#This Row],[due_date]]&gt;=TODAY(),0,NETWORKDAYS(AR_table[[#This Row],[due_date]],TODAY()))</f>
        <v>6</v>
      </c>
      <c r="G24" s="2" t="str">
        <f ca="1">VLOOKUP(AR_age_category!$F24,Table4[#All],2)</f>
        <v>1-30</v>
      </c>
    </row>
    <row r="25" spans="1:7" x14ac:dyDescent="0.3">
      <c r="A25" s="14" t="s">
        <v>23</v>
      </c>
      <c r="B25" s="4" t="s">
        <v>592</v>
      </c>
      <c r="C25" s="15">
        <v>45961</v>
      </c>
      <c r="D25" s="15">
        <f>WORKDAY(AR_age_category!$C25,$J$1)</f>
        <v>46003</v>
      </c>
      <c r="E25" s="16">
        <v>6942.78</v>
      </c>
      <c r="F25" s="21">
        <f ca="1">IF(AR_table[[#This Row],[due_date]]&gt;=TODAY(),0,NETWORKDAYS(AR_table[[#This Row],[due_date]],TODAY()))</f>
        <v>38</v>
      </c>
      <c r="G25" s="4" t="str">
        <f ca="1">VLOOKUP(AR_age_category!$F25,Table4[#All],2)</f>
        <v>31-60</v>
      </c>
    </row>
    <row r="26" spans="1:7" x14ac:dyDescent="0.3">
      <c r="A26" s="11" t="s">
        <v>24</v>
      </c>
      <c r="B26" s="2" t="s">
        <v>593</v>
      </c>
      <c r="C26" s="12">
        <v>45874</v>
      </c>
      <c r="D26" s="12">
        <f>WORKDAY(AR_age_category!$C26,$J$1)</f>
        <v>45916</v>
      </c>
      <c r="E26" s="13">
        <v>7098.74</v>
      </c>
      <c r="F26" s="21">
        <f ca="1">IF(AR_table[[#This Row],[due_date]]&gt;=TODAY(),0,NETWORKDAYS(AR_table[[#This Row],[due_date]],TODAY()))</f>
        <v>101</v>
      </c>
      <c r="G26" s="2" t="str">
        <f ca="1">VLOOKUP(AR_age_category!$F26,Table4[#All],2)</f>
        <v>&gt;90</v>
      </c>
    </row>
    <row r="27" spans="1:7" x14ac:dyDescent="0.3">
      <c r="A27" s="11" t="s">
        <v>25</v>
      </c>
      <c r="B27" s="2" t="s">
        <v>594</v>
      </c>
      <c r="C27" s="12">
        <v>45943</v>
      </c>
      <c r="D27" s="12">
        <f>WORKDAY(AR_age_category!$C27,$J$1)</f>
        <v>45985</v>
      </c>
      <c r="E27" s="13">
        <v>6438.74</v>
      </c>
      <c r="F27" s="21">
        <f ca="1">IF(AR_table[[#This Row],[due_date]]&gt;=TODAY(),0,NETWORKDAYS(AR_table[[#This Row],[due_date]],TODAY()))</f>
        <v>52</v>
      </c>
      <c r="G27" s="2" t="str">
        <f ca="1">VLOOKUP(AR_age_category!$F27,Table4[#All],2)</f>
        <v>31-60</v>
      </c>
    </row>
    <row r="28" spans="1:7" x14ac:dyDescent="0.3">
      <c r="A28" s="11" t="s">
        <v>26</v>
      </c>
      <c r="B28" s="2" t="s">
        <v>595</v>
      </c>
      <c r="C28" s="12">
        <v>45840</v>
      </c>
      <c r="D28" s="12">
        <f>WORKDAY(AR_age_category!$C28,$J$1)</f>
        <v>45882</v>
      </c>
      <c r="E28" s="13">
        <v>5121.3</v>
      </c>
      <c r="F28" s="21">
        <f ca="1">IF(AR_table[[#This Row],[due_date]]&gt;=TODAY(),0,NETWORKDAYS(AR_table[[#This Row],[due_date]],TODAY()))</f>
        <v>125</v>
      </c>
      <c r="G28" s="2" t="str">
        <f ca="1">VLOOKUP(AR_age_category!$F28,Table4[#All],2)</f>
        <v>&gt;90</v>
      </c>
    </row>
    <row r="29" spans="1:7" x14ac:dyDescent="0.3">
      <c r="A29" s="14" t="s">
        <v>27</v>
      </c>
      <c r="B29" s="4" t="s">
        <v>592</v>
      </c>
      <c r="C29" s="15">
        <v>46119</v>
      </c>
      <c r="D29" s="15">
        <f>WORKDAY(AR_age_category!$C29,$J$1)</f>
        <v>46161</v>
      </c>
      <c r="E29" s="16">
        <v>1325.15</v>
      </c>
      <c r="F29" s="21">
        <f ca="1">IF(AR_table[[#This Row],[due_date]]&gt;=TODAY(),0,NETWORKDAYS(AR_table[[#This Row],[due_date]],TODAY()))</f>
        <v>0</v>
      </c>
      <c r="G29" s="4" t="str">
        <f ca="1">VLOOKUP(AR_age_category!$F29,Table4[#All],2)</f>
        <v>Not due</v>
      </c>
    </row>
    <row r="30" spans="1:7" x14ac:dyDescent="0.3">
      <c r="A30" s="11" t="s">
        <v>28</v>
      </c>
      <c r="B30" s="2" t="s">
        <v>595</v>
      </c>
      <c r="C30" s="12">
        <v>45969</v>
      </c>
      <c r="D30" s="12">
        <f>WORKDAY(AR_age_category!$C30,$J$1)</f>
        <v>46010</v>
      </c>
      <c r="E30" s="13">
        <v>2200.8200000000002</v>
      </c>
      <c r="F30" s="21">
        <f ca="1">IF(AR_table[[#This Row],[due_date]]&gt;=TODAY(),0,NETWORKDAYS(AR_table[[#This Row],[due_date]],TODAY()))</f>
        <v>33</v>
      </c>
      <c r="G30" s="2" t="str">
        <f ca="1">VLOOKUP(AR_age_category!$F30,Table4[#All],2)</f>
        <v>31-60</v>
      </c>
    </row>
    <row r="31" spans="1:7" x14ac:dyDescent="0.3">
      <c r="A31" s="11" t="s">
        <v>29</v>
      </c>
      <c r="B31" s="2" t="s">
        <v>592</v>
      </c>
      <c r="C31" s="12">
        <v>45839</v>
      </c>
      <c r="D31" s="12">
        <f>WORKDAY(AR_age_category!$C31,$J$1)</f>
        <v>45881</v>
      </c>
      <c r="E31" s="13">
        <v>3180.12</v>
      </c>
      <c r="F31" s="21">
        <f ca="1">IF(AR_table[[#This Row],[due_date]]&gt;=TODAY(),0,NETWORKDAYS(AR_table[[#This Row],[due_date]],TODAY()))</f>
        <v>126</v>
      </c>
      <c r="G31" s="2" t="str">
        <f ca="1">VLOOKUP(AR_age_category!$F31,Table4[#All],2)</f>
        <v>&gt;90</v>
      </c>
    </row>
    <row r="32" spans="1:7" x14ac:dyDescent="0.3">
      <c r="A32" s="14" t="s">
        <v>30</v>
      </c>
      <c r="B32" s="4" t="s">
        <v>593</v>
      </c>
      <c r="C32" s="15">
        <v>46094</v>
      </c>
      <c r="D32" s="15">
        <f>WORKDAY(AR_age_category!$C32,$J$1)</f>
        <v>46136</v>
      </c>
      <c r="E32" s="16">
        <v>699.9</v>
      </c>
      <c r="F32" s="21">
        <f ca="1">IF(AR_table[[#This Row],[due_date]]&gt;=TODAY(),0,NETWORKDAYS(AR_table[[#This Row],[due_date]],TODAY()))</f>
        <v>0</v>
      </c>
      <c r="G32" s="4" t="str">
        <f ca="1">VLOOKUP(AR_age_category!$F32,Table4[#All],2)</f>
        <v>Not due</v>
      </c>
    </row>
    <row r="33" spans="1:7" x14ac:dyDescent="0.3">
      <c r="A33" s="11" t="s">
        <v>31</v>
      </c>
      <c r="B33" s="2" t="s">
        <v>594</v>
      </c>
      <c r="C33" s="12">
        <v>45802</v>
      </c>
      <c r="D33" s="12">
        <f>WORKDAY(AR_age_category!$C33,$J$1)</f>
        <v>45842</v>
      </c>
      <c r="E33" s="13">
        <v>498.51</v>
      </c>
      <c r="F33" s="21">
        <f ca="1">IF(AR_table[[#This Row],[due_date]]&gt;=TODAY(),0,NETWORKDAYS(AR_table[[#This Row],[due_date]],TODAY()))</f>
        <v>153</v>
      </c>
      <c r="G33" s="2" t="str">
        <f ca="1">VLOOKUP(AR_age_category!$F33,Table4[#All],2)</f>
        <v>&gt;90</v>
      </c>
    </row>
    <row r="34" spans="1:7" x14ac:dyDescent="0.3">
      <c r="A34" s="14" t="s">
        <v>32</v>
      </c>
      <c r="B34" s="4" t="s">
        <v>593</v>
      </c>
      <c r="C34" s="15">
        <v>45738</v>
      </c>
      <c r="D34" s="15">
        <f>WORKDAY(AR_age_category!$C34,$J$1)</f>
        <v>45779</v>
      </c>
      <c r="E34" s="16">
        <v>1578.97</v>
      </c>
      <c r="F34" s="21">
        <f ca="1">IF(AR_table[[#This Row],[due_date]]&gt;=TODAY(),0,NETWORKDAYS(AR_table[[#This Row],[due_date]],TODAY()))</f>
        <v>198</v>
      </c>
      <c r="G34" s="4" t="str">
        <f ca="1">VLOOKUP(AR_age_category!$F34,Table4[#All],2)</f>
        <v>&gt;90</v>
      </c>
    </row>
    <row r="35" spans="1:7" x14ac:dyDescent="0.3">
      <c r="A35" s="11" t="s">
        <v>33</v>
      </c>
      <c r="B35" s="2" t="s">
        <v>593</v>
      </c>
      <c r="C35" s="12">
        <v>46039</v>
      </c>
      <c r="D35" s="12">
        <f>WORKDAY(AR_age_category!$C35,$J$1)</f>
        <v>46080</v>
      </c>
      <c r="E35" s="13">
        <v>1246.19</v>
      </c>
      <c r="F35" s="21">
        <f ca="1">IF(AR_table[[#This Row],[due_date]]&gt;=TODAY(),0,NETWORKDAYS(AR_table[[#This Row],[due_date]],TODAY()))</f>
        <v>0</v>
      </c>
      <c r="G35" s="2" t="str">
        <f ca="1">VLOOKUP(AR_age_category!$F35,Table4[#All],2)</f>
        <v>Not due</v>
      </c>
    </row>
    <row r="36" spans="1:7" x14ac:dyDescent="0.3">
      <c r="A36" s="11" t="s">
        <v>34</v>
      </c>
      <c r="B36" s="2" t="s">
        <v>591</v>
      </c>
      <c r="C36" s="12">
        <v>46121</v>
      </c>
      <c r="D36" s="12">
        <f>WORKDAY(AR_age_category!$C36,$J$1)</f>
        <v>46163</v>
      </c>
      <c r="E36" s="13">
        <v>473.33</v>
      </c>
      <c r="F36" s="21">
        <f ca="1">IF(AR_table[[#This Row],[due_date]]&gt;=TODAY(),0,NETWORKDAYS(AR_table[[#This Row],[due_date]],TODAY()))</f>
        <v>0</v>
      </c>
      <c r="G36" s="2" t="str">
        <f ca="1">VLOOKUP(AR_age_category!$F36,Table4[#All],2)</f>
        <v>Not due</v>
      </c>
    </row>
    <row r="37" spans="1:7" x14ac:dyDescent="0.3">
      <c r="A37" s="14" t="s">
        <v>35</v>
      </c>
      <c r="B37" s="4" t="s">
        <v>591</v>
      </c>
      <c r="C37" s="15">
        <v>45845</v>
      </c>
      <c r="D37" s="15">
        <f>WORKDAY(AR_age_category!$C37,$J$1)</f>
        <v>45887</v>
      </c>
      <c r="E37" s="16">
        <v>5228.9399999999996</v>
      </c>
      <c r="F37" s="21">
        <f ca="1">IF(AR_table[[#This Row],[due_date]]&gt;=TODAY(),0,NETWORKDAYS(AR_table[[#This Row],[due_date]],TODAY()))</f>
        <v>122</v>
      </c>
      <c r="G37" s="4" t="str">
        <f ca="1">VLOOKUP(AR_age_category!$F37,Table4[#All],2)</f>
        <v>&gt;90</v>
      </c>
    </row>
    <row r="38" spans="1:7" x14ac:dyDescent="0.3">
      <c r="A38" s="11" t="s">
        <v>36</v>
      </c>
      <c r="B38" s="2" t="s">
        <v>591</v>
      </c>
      <c r="C38" s="12">
        <v>45854</v>
      </c>
      <c r="D38" s="12">
        <f>WORKDAY(AR_age_category!$C38,$J$1)</f>
        <v>45896</v>
      </c>
      <c r="E38" s="13">
        <v>3011.2</v>
      </c>
      <c r="F38" s="21">
        <f ca="1">IF(AR_table[[#This Row],[due_date]]&gt;=TODAY(),0,NETWORKDAYS(AR_table[[#This Row],[due_date]],TODAY()))</f>
        <v>115</v>
      </c>
      <c r="G38" s="2" t="str">
        <f ca="1">VLOOKUP(AR_age_category!$F38,Table4[#All],2)</f>
        <v>&gt;90</v>
      </c>
    </row>
    <row r="39" spans="1:7" x14ac:dyDescent="0.3">
      <c r="A39" s="14" t="s">
        <v>37</v>
      </c>
      <c r="B39" s="4" t="s">
        <v>593</v>
      </c>
      <c r="C39" s="15">
        <v>46015</v>
      </c>
      <c r="D39" s="15">
        <f>WORKDAY(AR_age_category!$C39,$J$1)</f>
        <v>46057</v>
      </c>
      <c r="E39" s="16">
        <v>4681.96</v>
      </c>
      <c r="F39" s="21">
        <f ca="1">IF(AR_table[[#This Row],[due_date]]&gt;=TODAY(),0,NETWORKDAYS(AR_table[[#This Row],[due_date]],TODAY()))</f>
        <v>0</v>
      </c>
      <c r="G39" s="4" t="str">
        <f ca="1">VLOOKUP(AR_age_category!$F39,Table4[#All],2)</f>
        <v>Not due</v>
      </c>
    </row>
    <row r="40" spans="1:7" x14ac:dyDescent="0.3">
      <c r="A40" s="14" t="s">
        <v>38</v>
      </c>
      <c r="B40" s="4" t="s">
        <v>592</v>
      </c>
      <c r="C40" s="15">
        <v>45906</v>
      </c>
      <c r="D40" s="15">
        <f>WORKDAY(AR_age_category!$C40,$J$1)</f>
        <v>45947</v>
      </c>
      <c r="E40" s="16">
        <v>4305.1099999999997</v>
      </c>
      <c r="F40" s="21">
        <f ca="1">IF(AR_table[[#This Row],[due_date]]&gt;=TODAY(),0,NETWORKDAYS(AR_table[[#This Row],[due_date]],TODAY()))</f>
        <v>78</v>
      </c>
      <c r="G40" s="4" t="str">
        <f ca="1">VLOOKUP(AR_age_category!$F40,Table4[#All],2)</f>
        <v>61-90</v>
      </c>
    </row>
    <row r="41" spans="1:7" x14ac:dyDescent="0.3">
      <c r="A41" s="14" t="s">
        <v>39</v>
      </c>
      <c r="B41" s="4" t="s">
        <v>593</v>
      </c>
      <c r="C41" s="15">
        <v>46034</v>
      </c>
      <c r="D41" s="15">
        <f>WORKDAY(AR_age_category!$C41,$J$1)</f>
        <v>46076</v>
      </c>
      <c r="E41" s="16">
        <v>7045.91</v>
      </c>
      <c r="F41" s="21">
        <f ca="1">IF(AR_table[[#This Row],[due_date]]&gt;=TODAY(),0,NETWORKDAYS(AR_table[[#This Row],[due_date]],TODAY()))</f>
        <v>0</v>
      </c>
      <c r="G41" s="4" t="str">
        <f ca="1">VLOOKUP(AR_age_category!$F41,Table4[#All],2)</f>
        <v>Not due</v>
      </c>
    </row>
    <row r="42" spans="1:7" x14ac:dyDescent="0.3">
      <c r="A42" s="11" t="s">
        <v>40</v>
      </c>
      <c r="B42" s="2" t="s">
        <v>593</v>
      </c>
      <c r="C42" s="12">
        <v>46124</v>
      </c>
      <c r="D42" s="12">
        <f>WORKDAY(AR_age_category!$C42,$J$1)</f>
        <v>46164</v>
      </c>
      <c r="E42" s="13">
        <v>425.01</v>
      </c>
      <c r="F42" s="21">
        <f ca="1">IF(AR_table[[#This Row],[due_date]]&gt;=TODAY(),0,NETWORKDAYS(AR_table[[#This Row],[due_date]],TODAY()))</f>
        <v>0</v>
      </c>
      <c r="G42" s="2" t="str">
        <f ca="1">VLOOKUP(AR_age_category!$F42,Table4[#All],2)</f>
        <v>Not due</v>
      </c>
    </row>
    <row r="43" spans="1:7" x14ac:dyDescent="0.3">
      <c r="A43" s="14" t="s">
        <v>41</v>
      </c>
      <c r="B43" s="4" t="s">
        <v>595</v>
      </c>
      <c r="C43" s="15">
        <v>45950</v>
      </c>
      <c r="D43" s="15">
        <f>WORKDAY(AR_age_category!$C43,$J$1)</f>
        <v>45992</v>
      </c>
      <c r="E43" s="16">
        <v>839.83</v>
      </c>
      <c r="F43" s="21">
        <f ca="1">IF(AR_table[[#This Row],[due_date]]&gt;=TODAY(),0,NETWORKDAYS(AR_table[[#This Row],[due_date]],TODAY()))</f>
        <v>47</v>
      </c>
      <c r="G43" s="4" t="str">
        <f ca="1">VLOOKUP(AR_age_category!$F43,Table4[#All],2)</f>
        <v>31-60</v>
      </c>
    </row>
    <row r="44" spans="1:7" x14ac:dyDescent="0.3">
      <c r="A44" s="11" t="s">
        <v>42</v>
      </c>
      <c r="B44" s="2" t="s">
        <v>594</v>
      </c>
      <c r="C44" s="12">
        <v>45954</v>
      </c>
      <c r="D44" s="12">
        <f>WORKDAY(AR_age_category!$C44,$J$1)</f>
        <v>45996</v>
      </c>
      <c r="E44" s="13">
        <v>997.56</v>
      </c>
      <c r="F44" s="21">
        <f ca="1">IF(AR_table[[#This Row],[due_date]]&gt;=TODAY(),0,NETWORKDAYS(AR_table[[#This Row],[due_date]],TODAY()))</f>
        <v>43</v>
      </c>
      <c r="G44" s="2" t="str">
        <f ca="1">VLOOKUP(AR_age_category!$F44,Table4[#All],2)</f>
        <v>31-60</v>
      </c>
    </row>
    <row r="45" spans="1:7" x14ac:dyDescent="0.3">
      <c r="A45" s="14" t="s">
        <v>43</v>
      </c>
      <c r="B45" s="4" t="s">
        <v>591</v>
      </c>
      <c r="C45" s="15">
        <v>45883</v>
      </c>
      <c r="D45" s="15">
        <f>WORKDAY(AR_age_category!$C45,$J$1)</f>
        <v>45925</v>
      </c>
      <c r="E45" s="16">
        <v>6142.65</v>
      </c>
      <c r="F45" s="21">
        <f ca="1">IF(AR_table[[#This Row],[due_date]]&gt;=TODAY(),0,NETWORKDAYS(AR_table[[#This Row],[due_date]],TODAY()))</f>
        <v>94</v>
      </c>
      <c r="G45" s="4" t="str">
        <f ca="1">VLOOKUP(AR_age_category!$F45,Table4[#All],2)</f>
        <v>&gt;90</v>
      </c>
    </row>
    <row r="46" spans="1:7" x14ac:dyDescent="0.3">
      <c r="A46" s="11" t="s">
        <v>44</v>
      </c>
      <c r="B46" s="2" t="s">
        <v>593</v>
      </c>
      <c r="C46" s="12">
        <v>46104</v>
      </c>
      <c r="D46" s="12">
        <f>WORKDAY(AR_age_category!$C46,$J$1)</f>
        <v>46146</v>
      </c>
      <c r="E46" s="13">
        <v>4402.5200000000004</v>
      </c>
      <c r="F46" s="21">
        <f ca="1">IF(AR_table[[#This Row],[due_date]]&gt;=TODAY(),0,NETWORKDAYS(AR_table[[#This Row],[due_date]],TODAY()))</f>
        <v>0</v>
      </c>
      <c r="G46" s="2" t="str">
        <f ca="1">VLOOKUP(AR_age_category!$F46,Table4[#All],2)</f>
        <v>Not due</v>
      </c>
    </row>
    <row r="47" spans="1:7" x14ac:dyDescent="0.3">
      <c r="A47" s="14" t="s">
        <v>45</v>
      </c>
      <c r="B47" s="4" t="s">
        <v>594</v>
      </c>
      <c r="C47" s="15">
        <v>45848</v>
      </c>
      <c r="D47" s="15">
        <f>WORKDAY(AR_age_category!$C47,$J$1)</f>
        <v>45890</v>
      </c>
      <c r="E47" s="16">
        <v>7809.98</v>
      </c>
      <c r="F47" s="21">
        <f ca="1">IF(AR_table[[#This Row],[due_date]]&gt;=TODAY(),0,NETWORKDAYS(AR_table[[#This Row],[due_date]],TODAY()))</f>
        <v>119</v>
      </c>
      <c r="G47" s="4" t="str">
        <f ca="1">VLOOKUP(AR_age_category!$F47,Table4[#All],2)</f>
        <v>&gt;90</v>
      </c>
    </row>
    <row r="48" spans="1:7" x14ac:dyDescent="0.3">
      <c r="A48" s="14" t="s">
        <v>46</v>
      </c>
      <c r="B48" s="4" t="s">
        <v>594</v>
      </c>
      <c r="C48" s="15">
        <v>45691</v>
      </c>
      <c r="D48" s="15">
        <f>WORKDAY(AR_age_category!$C48,$J$1)</f>
        <v>45733</v>
      </c>
      <c r="E48" s="16">
        <v>2946.05</v>
      </c>
      <c r="F48" s="21">
        <f ca="1">IF(AR_table[[#This Row],[due_date]]&gt;=TODAY(),0,NETWORKDAYS(AR_table[[#This Row],[due_date]],TODAY()))</f>
        <v>232</v>
      </c>
      <c r="G48" s="4" t="str">
        <f ca="1">VLOOKUP(AR_age_category!$F48,Table4[#All],2)</f>
        <v>&gt;90</v>
      </c>
    </row>
    <row r="49" spans="1:7" x14ac:dyDescent="0.3">
      <c r="A49" s="14" t="s">
        <v>47</v>
      </c>
      <c r="B49" s="4" t="s">
        <v>592</v>
      </c>
      <c r="C49" s="15">
        <v>45687</v>
      </c>
      <c r="D49" s="15">
        <f>WORKDAY(AR_age_category!$C49,$J$1)</f>
        <v>45729</v>
      </c>
      <c r="E49" s="16">
        <v>4822.1899999999996</v>
      </c>
      <c r="F49" s="21">
        <f ca="1">IF(AR_table[[#This Row],[due_date]]&gt;=TODAY(),0,NETWORKDAYS(AR_table[[#This Row],[due_date]],TODAY()))</f>
        <v>234</v>
      </c>
      <c r="G49" s="4" t="str">
        <f ca="1">VLOOKUP(AR_age_category!$F49,Table4[#All],2)</f>
        <v>&gt;90</v>
      </c>
    </row>
    <row r="50" spans="1:7" x14ac:dyDescent="0.3">
      <c r="A50" s="11" t="s">
        <v>48</v>
      </c>
      <c r="B50" s="2" t="s">
        <v>594</v>
      </c>
      <c r="C50" s="12">
        <v>45691</v>
      </c>
      <c r="D50" s="12">
        <f>WORKDAY(AR_age_category!$C50,$J$1)</f>
        <v>45733</v>
      </c>
      <c r="E50" s="13">
        <v>457.35</v>
      </c>
      <c r="F50" s="21">
        <f ca="1">IF(AR_table[[#This Row],[due_date]]&gt;=TODAY(),0,NETWORKDAYS(AR_table[[#This Row],[due_date]],TODAY()))</f>
        <v>232</v>
      </c>
      <c r="G50" s="2" t="str">
        <f ca="1">VLOOKUP(AR_age_category!$F50,Table4[#All],2)</f>
        <v>&gt;90</v>
      </c>
    </row>
    <row r="51" spans="1:7" x14ac:dyDescent="0.3">
      <c r="A51" s="14" t="s">
        <v>49</v>
      </c>
      <c r="B51" s="4" t="s">
        <v>594</v>
      </c>
      <c r="C51" s="15">
        <v>45923</v>
      </c>
      <c r="D51" s="15">
        <f>WORKDAY(AR_age_category!$C51,$J$1)</f>
        <v>45965</v>
      </c>
      <c r="E51" s="16">
        <v>2055.94</v>
      </c>
      <c r="F51" s="21">
        <f ca="1">IF(AR_table[[#This Row],[due_date]]&gt;=TODAY(),0,NETWORKDAYS(AR_table[[#This Row],[due_date]],TODAY()))</f>
        <v>66</v>
      </c>
      <c r="G51" s="4" t="str">
        <f ca="1">VLOOKUP(AR_age_category!$F51,Table4[#All],2)</f>
        <v>61-90</v>
      </c>
    </row>
    <row r="52" spans="1:7" x14ac:dyDescent="0.3">
      <c r="A52" s="11" t="s">
        <v>50</v>
      </c>
      <c r="B52" s="2" t="s">
        <v>595</v>
      </c>
      <c r="C52" s="12">
        <v>45771</v>
      </c>
      <c r="D52" s="12">
        <f>WORKDAY(AR_age_category!$C52,$J$1)</f>
        <v>45813</v>
      </c>
      <c r="E52" s="13">
        <v>6747.59</v>
      </c>
      <c r="F52" s="21">
        <f ca="1">IF(AR_table[[#This Row],[due_date]]&gt;=TODAY(),0,NETWORKDAYS(AR_table[[#This Row],[due_date]],TODAY()))</f>
        <v>174</v>
      </c>
      <c r="G52" s="2" t="str">
        <f ca="1">VLOOKUP(AR_age_category!$F52,Table4[#All],2)</f>
        <v>&gt;90</v>
      </c>
    </row>
    <row r="53" spans="1:7" x14ac:dyDescent="0.3">
      <c r="A53" s="14" t="s">
        <v>51</v>
      </c>
      <c r="B53" s="4" t="s">
        <v>594</v>
      </c>
      <c r="C53" s="15">
        <v>45945</v>
      </c>
      <c r="D53" s="15">
        <f>WORKDAY(AR_age_category!$C53,$J$1)</f>
        <v>45987</v>
      </c>
      <c r="E53" s="16">
        <v>3184.22</v>
      </c>
      <c r="F53" s="21">
        <f ca="1">IF(AR_table[[#This Row],[due_date]]&gt;=TODAY(),0,NETWORKDAYS(AR_table[[#This Row],[due_date]],TODAY()))</f>
        <v>50</v>
      </c>
      <c r="G53" s="4" t="str">
        <f ca="1">VLOOKUP(AR_age_category!$F53,Table4[#All],2)</f>
        <v>31-60</v>
      </c>
    </row>
    <row r="54" spans="1:7" x14ac:dyDescent="0.3">
      <c r="A54" s="14" t="s">
        <v>52</v>
      </c>
      <c r="B54" s="4" t="s">
        <v>591</v>
      </c>
      <c r="C54" s="15">
        <v>45749</v>
      </c>
      <c r="D54" s="15">
        <f>WORKDAY(AR_age_category!$C54,$J$1)</f>
        <v>45791</v>
      </c>
      <c r="E54" s="16">
        <v>6399.62</v>
      </c>
      <c r="F54" s="21">
        <f ca="1">IF(AR_table[[#This Row],[due_date]]&gt;=TODAY(),0,NETWORKDAYS(AR_table[[#This Row],[due_date]],TODAY()))</f>
        <v>190</v>
      </c>
      <c r="G54" s="4" t="str">
        <f ca="1">VLOOKUP(AR_age_category!$F54,Table4[#All],2)</f>
        <v>&gt;90</v>
      </c>
    </row>
    <row r="55" spans="1:7" x14ac:dyDescent="0.3">
      <c r="A55" s="11" t="s">
        <v>53</v>
      </c>
      <c r="B55" s="2" t="s">
        <v>591</v>
      </c>
      <c r="C55" s="12">
        <v>45838</v>
      </c>
      <c r="D55" s="12">
        <f>WORKDAY(AR_age_category!$C55,$J$1)</f>
        <v>45880</v>
      </c>
      <c r="E55" s="13">
        <v>775.03</v>
      </c>
      <c r="F55" s="21">
        <f ca="1">IF(AR_table[[#This Row],[due_date]]&gt;=TODAY(),0,NETWORKDAYS(AR_table[[#This Row],[due_date]],TODAY()))</f>
        <v>127</v>
      </c>
      <c r="G55" s="2" t="str">
        <f ca="1">VLOOKUP(AR_age_category!$F55,Table4[#All],2)</f>
        <v>&gt;90</v>
      </c>
    </row>
    <row r="56" spans="1:7" x14ac:dyDescent="0.3">
      <c r="A56" s="14" t="s">
        <v>54</v>
      </c>
      <c r="B56" s="4" t="s">
        <v>592</v>
      </c>
      <c r="C56" s="15">
        <v>45927</v>
      </c>
      <c r="D56" s="15">
        <f>WORKDAY(AR_age_category!$C56,$J$1)</f>
        <v>45968</v>
      </c>
      <c r="E56" s="16">
        <v>3847.51</v>
      </c>
      <c r="F56" s="21">
        <f ca="1">IF(AR_table[[#This Row],[due_date]]&gt;=TODAY(),0,NETWORKDAYS(AR_table[[#This Row],[due_date]],TODAY()))</f>
        <v>63</v>
      </c>
      <c r="G56" s="4" t="str">
        <f ca="1">VLOOKUP(AR_age_category!$F56,Table4[#All],2)</f>
        <v>61-90</v>
      </c>
    </row>
    <row r="57" spans="1:7" x14ac:dyDescent="0.3">
      <c r="A57" s="14" t="s">
        <v>55</v>
      </c>
      <c r="B57" s="4" t="s">
        <v>594</v>
      </c>
      <c r="C57" s="15">
        <v>46187</v>
      </c>
      <c r="D57" s="15">
        <f>WORKDAY(AR_age_category!$C57,$J$1)</f>
        <v>46227</v>
      </c>
      <c r="E57" s="16">
        <v>3736.92</v>
      </c>
      <c r="F57" s="21">
        <f ca="1">IF(AR_table[[#This Row],[due_date]]&gt;=TODAY(),0,NETWORKDAYS(AR_table[[#This Row],[due_date]],TODAY()))</f>
        <v>0</v>
      </c>
      <c r="G57" s="4" t="str">
        <f ca="1">VLOOKUP(AR_age_category!$F57,Table4[#All],2)</f>
        <v>Not due</v>
      </c>
    </row>
    <row r="58" spans="1:7" x14ac:dyDescent="0.3">
      <c r="A58" s="14" t="s">
        <v>56</v>
      </c>
      <c r="B58" s="4" t="s">
        <v>594</v>
      </c>
      <c r="C58" s="15">
        <v>45876</v>
      </c>
      <c r="D58" s="15">
        <f>WORKDAY(AR_age_category!$C58,$J$1)</f>
        <v>45918</v>
      </c>
      <c r="E58" s="16">
        <v>7325.37</v>
      </c>
      <c r="F58" s="21">
        <f ca="1">IF(AR_table[[#This Row],[due_date]]&gt;=TODAY(),0,NETWORKDAYS(AR_table[[#This Row],[due_date]],TODAY()))</f>
        <v>99</v>
      </c>
      <c r="G58" s="4" t="str">
        <f ca="1">VLOOKUP(AR_age_category!$F58,Table4[#All],2)</f>
        <v>&gt;90</v>
      </c>
    </row>
    <row r="59" spans="1:7" x14ac:dyDescent="0.3">
      <c r="A59" s="11" t="s">
        <v>57</v>
      </c>
      <c r="B59" s="2" t="s">
        <v>595</v>
      </c>
      <c r="C59" s="12">
        <v>45862</v>
      </c>
      <c r="D59" s="12">
        <f>WORKDAY(AR_age_category!$C59,$J$1)</f>
        <v>45904</v>
      </c>
      <c r="E59" s="13">
        <v>3958.69</v>
      </c>
      <c r="F59" s="21">
        <f ca="1">IF(AR_table[[#This Row],[due_date]]&gt;=TODAY(),0,NETWORKDAYS(AR_table[[#This Row],[due_date]],TODAY()))</f>
        <v>109</v>
      </c>
      <c r="G59" s="2" t="str">
        <f ca="1">VLOOKUP(AR_age_category!$F59,Table4[#All],2)</f>
        <v>&gt;90</v>
      </c>
    </row>
    <row r="60" spans="1:7" x14ac:dyDescent="0.3">
      <c r="A60" s="14" t="s">
        <v>58</v>
      </c>
      <c r="B60" s="4" t="s">
        <v>594</v>
      </c>
      <c r="C60" s="15">
        <v>45829</v>
      </c>
      <c r="D60" s="15">
        <f>WORKDAY(AR_age_category!$C60,$J$1)</f>
        <v>45870</v>
      </c>
      <c r="E60" s="16">
        <v>996.98</v>
      </c>
      <c r="F60" s="21">
        <f ca="1">IF(AR_table[[#This Row],[due_date]]&gt;=TODAY(),0,NETWORKDAYS(AR_table[[#This Row],[due_date]],TODAY()))</f>
        <v>133</v>
      </c>
      <c r="G60" s="4" t="str">
        <f ca="1">VLOOKUP(AR_age_category!$F60,Table4[#All],2)</f>
        <v>&gt;90</v>
      </c>
    </row>
    <row r="61" spans="1:7" x14ac:dyDescent="0.3">
      <c r="A61" s="11" t="s">
        <v>59</v>
      </c>
      <c r="B61" s="2" t="s">
        <v>594</v>
      </c>
      <c r="C61" s="12">
        <v>45873</v>
      </c>
      <c r="D61" s="12">
        <f>WORKDAY(AR_age_category!$C61,$J$1)</f>
        <v>45915</v>
      </c>
      <c r="E61" s="13">
        <v>5165.8999999999996</v>
      </c>
      <c r="F61" s="21">
        <f ca="1">IF(AR_table[[#This Row],[due_date]]&gt;=TODAY(),0,NETWORKDAYS(AR_table[[#This Row],[due_date]],TODAY()))</f>
        <v>102</v>
      </c>
      <c r="G61" s="2" t="str">
        <f ca="1">VLOOKUP(AR_age_category!$F61,Table4[#All],2)</f>
        <v>&gt;90</v>
      </c>
    </row>
    <row r="62" spans="1:7" x14ac:dyDescent="0.3">
      <c r="A62" s="14" t="s">
        <v>60</v>
      </c>
      <c r="B62" s="4" t="s">
        <v>594</v>
      </c>
      <c r="C62" s="15">
        <v>45850</v>
      </c>
      <c r="D62" s="15">
        <f>WORKDAY(AR_age_category!$C62,$J$1)</f>
        <v>45891</v>
      </c>
      <c r="E62" s="16">
        <v>6048.66</v>
      </c>
      <c r="F62" s="21">
        <f ca="1">IF(AR_table[[#This Row],[due_date]]&gt;=TODAY(),0,NETWORKDAYS(AR_table[[#This Row],[due_date]],TODAY()))</f>
        <v>118</v>
      </c>
      <c r="G62" s="4" t="str">
        <f ca="1">VLOOKUP(AR_age_category!$F62,Table4[#All],2)</f>
        <v>&gt;90</v>
      </c>
    </row>
    <row r="63" spans="1:7" x14ac:dyDescent="0.3">
      <c r="A63" s="14" t="s">
        <v>61</v>
      </c>
      <c r="B63" s="4" t="s">
        <v>594</v>
      </c>
      <c r="C63" s="15">
        <v>45745</v>
      </c>
      <c r="D63" s="15">
        <f>WORKDAY(AR_age_category!$C63,$J$1)</f>
        <v>45786</v>
      </c>
      <c r="E63" s="16">
        <v>7578.16</v>
      </c>
      <c r="F63" s="21">
        <f ca="1">IF(AR_table[[#This Row],[due_date]]&gt;=TODAY(),0,NETWORKDAYS(AR_table[[#This Row],[due_date]],TODAY()))</f>
        <v>193</v>
      </c>
      <c r="G63" s="4" t="str">
        <f ca="1">VLOOKUP(AR_age_category!$F63,Table4[#All],2)</f>
        <v>&gt;90</v>
      </c>
    </row>
    <row r="64" spans="1:7" x14ac:dyDescent="0.3">
      <c r="A64" s="11" t="s">
        <v>62</v>
      </c>
      <c r="B64" s="2" t="s">
        <v>592</v>
      </c>
      <c r="C64" s="12">
        <v>45793</v>
      </c>
      <c r="D64" s="12">
        <f>WORKDAY(AR_age_category!$C64,$J$1)</f>
        <v>45835</v>
      </c>
      <c r="E64" s="13">
        <v>2123.65</v>
      </c>
      <c r="F64" s="21">
        <f ca="1">IF(AR_table[[#This Row],[due_date]]&gt;=TODAY(),0,NETWORKDAYS(AR_table[[#This Row],[due_date]],TODAY()))</f>
        <v>158</v>
      </c>
      <c r="G64" s="2" t="str">
        <f ca="1">VLOOKUP(AR_age_category!$F64,Table4[#All],2)</f>
        <v>&gt;90</v>
      </c>
    </row>
    <row r="65" spans="1:7" x14ac:dyDescent="0.3">
      <c r="A65" s="11" t="s">
        <v>63</v>
      </c>
      <c r="B65" s="2" t="s">
        <v>591</v>
      </c>
      <c r="C65" s="12">
        <v>46030</v>
      </c>
      <c r="D65" s="12">
        <f>WORKDAY(AR_age_category!$C65,$J$1)</f>
        <v>46072</v>
      </c>
      <c r="E65" s="13">
        <v>3764.75</v>
      </c>
      <c r="F65" s="21">
        <f ca="1">IF(AR_table[[#This Row],[due_date]]&gt;=TODAY(),0,NETWORKDAYS(AR_table[[#This Row],[due_date]],TODAY()))</f>
        <v>0</v>
      </c>
      <c r="G65" s="2" t="str">
        <f ca="1">VLOOKUP(AR_age_category!$F65,Table4[#All],2)</f>
        <v>Not due</v>
      </c>
    </row>
    <row r="66" spans="1:7" x14ac:dyDescent="0.3">
      <c r="A66" s="14" t="s">
        <v>64</v>
      </c>
      <c r="B66" s="4" t="s">
        <v>595</v>
      </c>
      <c r="C66" s="15">
        <v>46106</v>
      </c>
      <c r="D66" s="15">
        <f>WORKDAY(AR_age_category!$C66,$J$1)</f>
        <v>46148</v>
      </c>
      <c r="E66" s="16">
        <v>820.19</v>
      </c>
      <c r="F66" s="21">
        <f ca="1">IF(AR_table[[#This Row],[due_date]]&gt;=TODAY(),0,NETWORKDAYS(AR_table[[#This Row],[due_date]],TODAY()))</f>
        <v>0</v>
      </c>
      <c r="G66" s="4" t="str">
        <f ca="1">VLOOKUP(AR_age_category!$F66,Table4[#All],2)</f>
        <v>Not due</v>
      </c>
    </row>
    <row r="67" spans="1:7" x14ac:dyDescent="0.3">
      <c r="A67" s="11" t="s">
        <v>65</v>
      </c>
      <c r="B67" s="2" t="s">
        <v>595</v>
      </c>
      <c r="C67" s="12">
        <v>45948</v>
      </c>
      <c r="D67" s="12">
        <f>WORKDAY(AR_age_category!$C67,$J$1)</f>
        <v>45989</v>
      </c>
      <c r="E67" s="13">
        <v>2445.4899999999998</v>
      </c>
      <c r="F67" s="21">
        <f ca="1">IF(AR_table[[#This Row],[due_date]]&gt;=TODAY(),0,NETWORKDAYS(AR_table[[#This Row],[due_date]],TODAY()))</f>
        <v>48</v>
      </c>
      <c r="G67" s="2" t="str">
        <f ca="1">VLOOKUP(AR_age_category!$F67,Table4[#All],2)</f>
        <v>31-60</v>
      </c>
    </row>
    <row r="68" spans="1:7" x14ac:dyDescent="0.3">
      <c r="A68" s="14" t="s">
        <v>66</v>
      </c>
      <c r="B68" s="4" t="s">
        <v>594</v>
      </c>
      <c r="C68" s="15">
        <v>46004</v>
      </c>
      <c r="D68" s="15">
        <f>WORKDAY(AR_age_category!$C68,$J$1)</f>
        <v>46045</v>
      </c>
      <c r="E68" s="16">
        <v>1998.78</v>
      </c>
      <c r="F68" s="21">
        <f ca="1">IF(AR_table[[#This Row],[due_date]]&gt;=TODAY(),0,NETWORKDAYS(AR_table[[#This Row],[due_date]],TODAY()))</f>
        <v>8</v>
      </c>
      <c r="G68" s="4" t="str">
        <f ca="1">VLOOKUP(AR_age_category!$F68,Table4[#All],2)</f>
        <v>1-30</v>
      </c>
    </row>
    <row r="69" spans="1:7" x14ac:dyDescent="0.3">
      <c r="A69" s="11" t="s">
        <v>67</v>
      </c>
      <c r="B69" s="2" t="s">
        <v>592</v>
      </c>
      <c r="C69" s="12">
        <v>46016</v>
      </c>
      <c r="D69" s="12">
        <f>WORKDAY(AR_age_category!$C69,$J$1)</f>
        <v>46058</v>
      </c>
      <c r="E69" s="13">
        <v>3998.83</v>
      </c>
      <c r="F69" s="21">
        <f ca="1">IF(AR_table[[#This Row],[due_date]]&gt;=TODAY(),0,NETWORKDAYS(AR_table[[#This Row],[due_date]],TODAY()))</f>
        <v>0</v>
      </c>
      <c r="G69" s="2" t="str">
        <f ca="1">VLOOKUP(AR_age_category!$F69,Table4[#All],2)</f>
        <v>Not due</v>
      </c>
    </row>
    <row r="70" spans="1:7" x14ac:dyDescent="0.3">
      <c r="A70" s="14" t="s">
        <v>68</v>
      </c>
      <c r="B70" s="4" t="s">
        <v>594</v>
      </c>
      <c r="C70" s="15">
        <v>45874</v>
      </c>
      <c r="D70" s="15">
        <f>WORKDAY(AR_age_category!$C70,$J$1)</f>
        <v>45916</v>
      </c>
      <c r="E70" s="16">
        <v>7583.72</v>
      </c>
      <c r="F70" s="21">
        <f ca="1">IF(AR_table[[#This Row],[due_date]]&gt;=TODAY(),0,NETWORKDAYS(AR_table[[#This Row],[due_date]],TODAY()))</f>
        <v>101</v>
      </c>
      <c r="G70" s="4" t="str">
        <f ca="1">VLOOKUP(AR_age_category!$F70,Table4[#All],2)</f>
        <v>&gt;90</v>
      </c>
    </row>
    <row r="71" spans="1:7" x14ac:dyDescent="0.3">
      <c r="A71" s="11" t="s">
        <v>69</v>
      </c>
      <c r="B71" s="2" t="s">
        <v>595</v>
      </c>
      <c r="C71" s="12">
        <v>45748</v>
      </c>
      <c r="D71" s="12">
        <f>WORKDAY(AR_age_category!$C71,$J$1)</f>
        <v>45790</v>
      </c>
      <c r="E71" s="13">
        <v>962.46</v>
      </c>
      <c r="F71" s="21">
        <f ca="1">IF(AR_table[[#This Row],[due_date]]&gt;=TODAY(),0,NETWORKDAYS(AR_table[[#This Row],[due_date]],TODAY()))</f>
        <v>191</v>
      </c>
      <c r="G71" s="2" t="str">
        <f ca="1">VLOOKUP(AR_age_category!$F71,Table4[#All],2)</f>
        <v>&gt;90</v>
      </c>
    </row>
    <row r="72" spans="1:7" x14ac:dyDescent="0.3">
      <c r="A72" s="14" t="s">
        <v>70</v>
      </c>
      <c r="B72" s="4" t="s">
        <v>593</v>
      </c>
      <c r="C72" s="15">
        <v>45740</v>
      </c>
      <c r="D72" s="15">
        <f>WORKDAY(AR_age_category!$C72,$J$1)</f>
        <v>45782</v>
      </c>
      <c r="E72" s="16">
        <v>2924.69</v>
      </c>
      <c r="F72" s="21">
        <f ca="1">IF(AR_table[[#This Row],[due_date]]&gt;=TODAY(),0,NETWORKDAYS(AR_table[[#This Row],[due_date]],TODAY()))</f>
        <v>197</v>
      </c>
      <c r="G72" s="4" t="str">
        <f ca="1">VLOOKUP(AR_age_category!$F72,Table4[#All],2)</f>
        <v>&gt;90</v>
      </c>
    </row>
    <row r="73" spans="1:7" x14ac:dyDescent="0.3">
      <c r="A73" s="11" t="s">
        <v>71</v>
      </c>
      <c r="B73" s="2" t="s">
        <v>593</v>
      </c>
      <c r="C73" s="12">
        <v>45920</v>
      </c>
      <c r="D73" s="12">
        <f>WORKDAY(AR_age_category!$C73,$J$1)</f>
        <v>45961</v>
      </c>
      <c r="E73" s="13">
        <v>4442.67</v>
      </c>
      <c r="F73" s="21">
        <f ca="1">IF(AR_table[[#This Row],[due_date]]&gt;=TODAY(),0,NETWORKDAYS(AR_table[[#This Row],[due_date]],TODAY()))</f>
        <v>68</v>
      </c>
      <c r="G73" s="2" t="str">
        <f ca="1">VLOOKUP(AR_age_category!$F73,Table4[#All],2)</f>
        <v>61-90</v>
      </c>
    </row>
    <row r="74" spans="1:7" x14ac:dyDescent="0.3">
      <c r="A74" s="11" t="s">
        <v>72</v>
      </c>
      <c r="B74" s="2" t="s">
        <v>593</v>
      </c>
      <c r="C74" s="12">
        <v>45681</v>
      </c>
      <c r="D74" s="12">
        <f>WORKDAY(AR_age_category!$C74,$J$1)</f>
        <v>45723</v>
      </c>
      <c r="E74" s="13">
        <v>779.56</v>
      </c>
      <c r="F74" s="21">
        <f ca="1">IF(AR_table[[#This Row],[due_date]]&gt;=TODAY(),0,NETWORKDAYS(AR_table[[#This Row],[due_date]],TODAY()))</f>
        <v>238</v>
      </c>
      <c r="G74" s="2" t="str">
        <f ca="1">VLOOKUP(AR_age_category!$F74,Table4[#All],2)</f>
        <v>&gt;90</v>
      </c>
    </row>
    <row r="75" spans="1:7" x14ac:dyDescent="0.3">
      <c r="A75" s="14" t="s">
        <v>73</v>
      </c>
      <c r="B75" s="4" t="s">
        <v>591</v>
      </c>
      <c r="C75" s="15">
        <v>45975</v>
      </c>
      <c r="D75" s="15">
        <f>WORKDAY(AR_age_category!$C75,$J$1)</f>
        <v>46017</v>
      </c>
      <c r="E75" s="16">
        <v>546.16</v>
      </c>
      <c r="F75" s="21">
        <f ca="1">IF(AR_table[[#This Row],[due_date]]&gt;=TODAY(),0,NETWORKDAYS(AR_table[[#This Row],[due_date]],TODAY()))</f>
        <v>28</v>
      </c>
      <c r="G75" s="4" t="str">
        <f ca="1">VLOOKUP(AR_age_category!$F75,Table4[#All],2)</f>
        <v>1-30</v>
      </c>
    </row>
    <row r="76" spans="1:7" x14ac:dyDescent="0.3">
      <c r="A76" s="11" t="s">
        <v>74</v>
      </c>
      <c r="B76" s="2" t="s">
        <v>595</v>
      </c>
      <c r="C76" s="12">
        <v>45918</v>
      </c>
      <c r="D76" s="12">
        <f>WORKDAY(AR_age_category!$C76,$J$1)</f>
        <v>45960</v>
      </c>
      <c r="E76" s="13">
        <v>7954.05</v>
      </c>
      <c r="F76" s="21">
        <f ca="1">IF(AR_table[[#This Row],[due_date]]&gt;=TODAY(),0,NETWORKDAYS(AR_table[[#This Row],[due_date]],TODAY()))</f>
        <v>69</v>
      </c>
      <c r="G76" s="2" t="str">
        <f ca="1">VLOOKUP(AR_age_category!$F76,Table4[#All],2)</f>
        <v>61-90</v>
      </c>
    </row>
    <row r="77" spans="1:7" x14ac:dyDescent="0.3">
      <c r="A77" s="14" t="s">
        <v>75</v>
      </c>
      <c r="B77" s="4" t="s">
        <v>592</v>
      </c>
      <c r="C77" s="15">
        <v>45908</v>
      </c>
      <c r="D77" s="15">
        <f>WORKDAY(AR_age_category!$C77,$J$1)</f>
        <v>45950</v>
      </c>
      <c r="E77" s="16">
        <v>3639.68</v>
      </c>
      <c r="F77" s="21">
        <f ca="1">IF(AR_table[[#This Row],[due_date]]&gt;=TODAY(),0,NETWORKDAYS(AR_table[[#This Row],[due_date]],TODAY()))</f>
        <v>77</v>
      </c>
      <c r="G77" s="4" t="str">
        <f ca="1">VLOOKUP(AR_age_category!$F77,Table4[#All],2)</f>
        <v>61-90</v>
      </c>
    </row>
    <row r="78" spans="1:7" x14ac:dyDescent="0.3">
      <c r="A78" s="11" t="s">
        <v>76</v>
      </c>
      <c r="B78" s="2" t="s">
        <v>595</v>
      </c>
      <c r="C78" s="12">
        <v>46196</v>
      </c>
      <c r="D78" s="12">
        <f>WORKDAY(AR_age_category!$C78,$J$1)</f>
        <v>46238</v>
      </c>
      <c r="E78" s="13">
        <v>7625.21</v>
      </c>
      <c r="F78" s="21">
        <f ca="1">IF(AR_table[[#This Row],[due_date]]&gt;=TODAY(),0,NETWORKDAYS(AR_table[[#This Row],[due_date]],TODAY()))</f>
        <v>0</v>
      </c>
      <c r="G78" s="2" t="str">
        <f ca="1">VLOOKUP(AR_age_category!$F78,Table4[#All],2)</f>
        <v>Not due</v>
      </c>
    </row>
    <row r="79" spans="1:7" x14ac:dyDescent="0.3">
      <c r="A79" s="14" t="s">
        <v>77</v>
      </c>
      <c r="B79" s="4" t="s">
        <v>595</v>
      </c>
      <c r="C79" s="15">
        <v>45723</v>
      </c>
      <c r="D79" s="15">
        <f>WORKDAY(AR_age_category!$C79,$J$1)</f>
        <v>45765</v>
      </c>
      <c r="E79" s="16">
        <v>1585.28</v>
      </c>
      <c r="F79" s="21">
        <f ca="1">IF(AR_table[[#This Row],[due_date]]&gt;=TODAY(),0,NETWORKDAYS(AR_table[[#This Row],[due_date]],TODAY()))</f>
        <v>208</v>
      </c>
      <c r="G79" s="4" t="str">
        <f ca="1">VLOOKUP(AR_age_category!$F79,Table4[#All],2)</f>
        <v>&gt;90</v>
      </c>
    </row>
    <row r="80" spans="1:7" x14ac:dyDescent="0.3">
      <c r="A80" s="11" t="s">
        <v>78</v>
      </c>
      <c r="B80" s="2" t="s">
        <v>594</v>
      </c>
      <c r="C80" s="12">
        <v>45955</v>
      </c>
      <c r="D80" s="12">
        <f>WORKDAY(AR_age_category!$C80,$J$1)</f>
        <v>45996</v>
      </c>
      <c r="E80" s="13">
        <v>839.17</v>
      </c>
      <c r="F80" s="21">
        <f ca="1">IF(AR_table[[#This Row],[due_date]]&gt;=TODAY(),0,NETWORKDAYS(AR_table[[#This Row],[due_date]],TODAY()))</f>
        <v>43</v>
      </c>
      <c r="G80" s="2" t="str">
        <f ca="1">VLOOKUP(AR_age_category!$F80,Table4[#All],2)</f>
        <v>31-60</v>
      </c>
    </row>
    <row r="81" spans="1:7" x14ac:dyDescent="0.3">
      <c r="A81" s="14" t="s">
        <v>79</v>
      </c>
      <c r="B81" s="4" t="s">
        <v>593</v>
      </c>
      <c r="C81" s="15">
        <v>46069</v>
      </c>
      <c r="D81" s="15">
        <f>WORKDAY(AR_age_category!$C81,$J$1)</f>
        <v>46111</v>
      </c>
      <c r="E81" s="16">
        <v>3881.62</v>
      </c>
      <c r="F81" s="21">
        <f ca="1">IF(AR_table[[#This Row],[due_date]]&gt;=TODAY(),0,NETWORKDAYS(AR_table[[#This Row],[due_date]],TODAY()))</f>
        <v>0</v>
      </c>
      <c r="G81" s="4" t="str">
        <f ca="1">VLOOKUP(AR_age_category!$F81,Table4[#All],2)</f>
        <v>Not due</v>
      </c>
    </row>
    <row r="82" spans="1:7" x14ac:dyDescent="0.3">
      <c r="A82" s="11" t="s">
        <v>80</v>
      </c>
      <c r="B82" s="2" t="s">
        <v>593</v>
      </c>
      <c r="C82" s="12">
        <v>45844</v>
      </c>
      <c r="D82" s="12">
        <f>WORKDAY(AR_age_category!$C82,$J$1)</f>
        <v>45884</v>
      </c>
      <c r="E82" s="13">
        <v>7797.4</v>
      </c>
      <c r="F82" s="21">
        <f ca="1">IF(AR_table[[#This Row],[due_date]]&gt;=TODAY(),0,NETWORKDAYS(AR_table[[#This Row],[due_date]],TODAY()))</f>
        <v>123</v>
      </c>
      <c r="G82" s="2" t="str">
        <f ca="1">VLOOKUP(AR_age_category!$F82,Table4[#All],2)</f>
        <v>&gt;90</v>
      </c>
    </row>
    <row r="83" spans="1:7" x14ac:dyDescent="0.3">
      <c r="A83" s="11" t="s">
        <v>81</v>
      </c>
      <c r="B83" s="2" t="s">
        <v>592</v>
      </c>
      <c r="C83" s="12">
        <v>45696</v>
      </c>
      <c r="D83" s="12">
        <f>WORKDAY(AR_age_category!$C83,$J$1)</f>
        <v>45737</v>
      </c>
      <c r="E83" s="13">
        <v>2014.85</v>
      </c>
      <c r="F83" s="21">
        <f ca="1">IF(AR_table[[#This Row],[due_date]]&gt;=TODAY(),0,NETWORKDAYS(AR_table[[#This Row],[due_date]],TODAY()))</f>
        <v>228</v>
      </c>
      <c r="G83" s="2" t="str">
        <f ca="1">VLOOKUP(AR_age_category!$F83,Table4[#All],2)</f>
        <v>&gt;90</v>
      </c>
    </row>
    <row r="84" spans="1:7" x14ac:dyDescent="0.3">
      <c r="A84" s="14" t="s">
        <v>82</v>
      </c>
      <c r="B84" s="4" t="s">
        <v>595</v>
      </c>
      <c r="C84" s="15">
        <v>45995</v>
      </c>
      <c r="D84" s="15">
        <f>WORKDAY(AR_age_category!$C84,$J$1)</f>
        <v>46037</v>
      </c>
      <c r="E84" s="16">
        <v>4892.3500000000004</v>
      </c>
      <c r="F84" s="21">
        <f ca="1">IF(AR_table[[#This Row],[due_date]]&gt;=TODAY(),0,NETWORKDAYS(AR_table[[#This Row],[due_date]],TODAY()))</f>
        <v>14</v>
      </c>
      <c r="G84" s="4" t="str">
        <f ca="1">VLOOKUP(AR_age_category!$F84,Table4[#All],2)</f>
        <v>1-30</v>
      </c>
    </row>
    <row r="85" spans="1:7" x14ac:dyDescent="0.3">
      <c r="A85" s="11" t="s">
        <v>83</v>
      </c>
      <c r="B85" s="2" t="s">
        <v>593</v>
      </c>
      <c r="C85" s="12">
        <v>46173</v>
      </c>
      <c r="D85" s="12">
        <f>WORKDAY(AR_age_category!$C85,$J$1)</f>
        <v>46213</v>
      </c>
      <c r="E85" s="13">
        <v>4299.43</v>
      </c>
      <c r="F85" s="21">
        <f ca="1">IF(AR_table[[#This Row],[due_date]]&gt;=TODAY(),0,NETWORKDAYS(AR_table[[#This Row],[due_date]],TODAY()))</f>
        <v>0</v>
      </c>
      <c r="G85" s="2" t="str">
        <f ca="1">VLOOKUP(AR_age_category!$F85,Table4[#All],2)</f>
        <v>Not due</v>
      </c>
    </row>
    <row r="86" spans="1:7" x14ac:dyDescent="0.3">
      <c r="A86" s="14" t="s">
        <v>84</v>
      </c>
      <c r="B86" s="4" t="s">
        <v>594</v>
      </c>
      <c r="C86" s="15">
        <v>45820</v>
      </c>
      <c r="D86" s="15">
        <f>WORKDAY(AR_age_category!$C86,$J$1)</f>
        <v>45862</v>
      </c>
      <c r="E86" s="16">
        <v>5721</v>
      </c>
      <c r="F86" s="21">
        <f ca="1">IF(AR_table[[#This Row],[due_date]]&gt;=TODAY(),0,NETWORKDAYS(AR_table[[#This Row],[due_date]],TODAY()))</f>
        <v>139</v>
      </c>
      <c r="G86" s="4" t="str">
        <f ca="1">VLOOKUP(AR_age_category!$F86,Table4[#All],2)</f>
        <v>&gt;90</v>
      </c>
    </row>
    <row r="87" spans="1:7" x14ac:dyDescent="0.3">
      <c r="A87" s="11" t="s">
        <v>85</v>
      </c>
      <c r="B87" s="2" t="s">
        <v>592</v>
      </c>
      <c r="C87" s="12">
        <v>45915</v>
      </c>
      <c r="D87" s="12">
        <f>WORKDAY(AR_age_category!$C87,$J$1)</f>
        <v>45957</v>
      </c>
      <c r="E87" s="13">
        <v>7503.51</v>
      </c>
      <c r="F87" s="21">
        <f ca="1">IF(AR_table[[#This Row],[due_date]]&gt;=TODAY(),0,NETWORKDAYS(AR_table[[#This Row],[due_date]],TODAY()))</f>
        <v>72</v>
      </c>
      <c r="G87" s="2" t="str">
        <f ca="1">VLOOKUP(AR_age_category!$F87,Table4[#All],2)</f>
        <v>61-90</v>
      </c>
    </row>
    <row r="88" spans="1:7" x14ac:dyDescent="0.3">
      <c r="A88" s="14" t="s">
        <v>86</v>
      </c>
      <c r="B88" s="4" t="s">
        <v>593</v>
      </c>
      <c r="C88" s="15">
        <v>46123</v>
      </c>
      <c r="D88" s="15">
        <f>WORKDAY(AR_age_category!$C88,$J$1)</f>
        <v>46164</v>
      </c>
      <c r="E88" s="16">
        <v>3411.27</v>
      </c>
      <c r="F88" s="21">
        <f ca="1">IF(AR_table[[#This Row],[due_date]]&gt;=TODAY(),0,NETWORKDAYS(AR_table[[#This Row],[due_date]],TODAY()))</f>
        <v>0</v>
      </c>
      <c r="G88" s="4" t="str">
        <f ca="1">VLOOKUP(AR_age_category!$F88,Table4[#All],2)</f>
        <v>Not due</v>
      </c>
    </row>
    <row r="89" spans="1:7" x14ac:dyDescent="0.3">
      <c r="A89" s="11" t="s">
        <v>87</v>
      </c>
      <c r="B89" s="2" t="s">
        <v>594</v>
      </c>
      <c r="C89" s="12">
        <v>46043</v>
      </c>
      <c r="D89" s="12">
        <f>WORKDAY(AR_age_category!$C89,$J$1)</f>
        <v>46085</v>
      </c>
      <c r="E89" s="13">
        <v>785.47</v>
      </c>
      <c r="F89" s="21">
        <f ca="1">IF(AR_table[[#This Row],[due_date]]&gt;=TODAY(),0,NETWORKDAYS(AR_table[[#This Row],[due_date]],TODAY()))</f>
        <v>0</v>
      </c>
      <c r="G89" s="2" t="str">
        <f ca="1">VLOOKUP(AR_age_category!$F89,Table4[#All],2)</f>
        <v>Not due</v>
      </c>
    </row>
    <row r="90" spans="1:7" x14ac:dyDescent="0.3">
      <c r="A90" s="14" t="s">
        <v>88</v>
      </c>
      <c r="B90" s="4" t="s">
        <v>595</v>
      </c>
      <c r="C90" s="15">
        <v>45735</v>
      </c>
      <c r="D90" s="15">
        <f>WORKDAY(AR_age_category!$C90,$J$1)</f>
        <v>45777</v>
      </c>
      <c r="E90" s="16">
        <v>1451.37</v>
      </c>
      <c r="F90" s="21">
        <f ca="1">IF(AR_table[[#This Row],[due_date]]&gt;=TODAY(),0,NETWORKDAYS(AR_table[[#This Row],[due_date]],TODAY()))</f>
        <v>200</v>
      </c>
      <c r="G90" s="4" t="str">
        <f ca="1">VLOOKUP(AR_age_category!$F90,Table4[#All],2)</f>
        <v>&gt;90</v>
      </c>
    </row>
    <row r="91" spans="1:7" x14ac:dyDescent="0.3">
      <c r="A91" s="14" t="s">
        <v>89</v>
      </c>
      <c r="B91" s="4" t="s">
        <v>594</v>
      </c>
      <c r="C91" s="15">
        <v>45708</v>
      </c>
      <c r="D91" s="15">
        <f>WORKDAY(AR_age_category!$C91,$J$1)</f>
        <v>45750</v>
      </c>
      <c r="E91" s="16">
        <v>1416.74</v>
      </c>
      <c r="F91" s="21">
        <f ca="1">IF(AR_table[[#This Row],[due_date]]&gt;=TODAY(),0,NETWORKDAYS(AR_table[[#This Row],[due_date]],TODAY()))</f>
        <v>219</v>
      </c>
      <c r="G91" s="4" t="str">
        <f ca="1">VLOOKUP(AR_age_category!$F91,Table4[#All],2)</f>
        <v>&gt;90</v>
      </c>
    </row>
    <row r="92" spans="1:7" x14ac:dyDescent="0.3">
      <c r="A92" s="14" t="s">
        <v>90</v>
      </c>
      <c r="B92" s="4" t="s">
        <v>595</v>
      </c>
      <c r="C92" s="15">
        <v>45866</v>
      </c>
      <c r="D92" s="15">
        <f>WORKDAY(AR_age_category!$C92,$J$1)</f>
        <v>45908</v>
      </c>
      <c r="E92" s="16">
        <v>5239.3</v>
      </c>
      <c r="F92" s="21">
        <f ca="1">IF(AR_table[[#This Row],[due_date]]&gt;=TODAY(),0,NETWORKDAYS(AR_table[[#This Row],[due_date]],TODAY()))</f>
        <v>107</v>
      </c>
      <c r="G92" s="4" t="str">
        <f ca="1">VLOOKUP(AR_age_category!$F92,Table4[#All],2)</f>
        <v>&gt;90</v>
      </c>
    </row>
    <row r="93" spans="1:7" x14ac:dyDescent="0.3">
      <c r="A93" s="11" t="s">
        <v>91</v>
      </c>
      <c r="B93" s="2" t="s">
        <v>592</v>
      </c>
      <c r="C93" s="12">
        <v>45728</v>
      </c>
      <c r="D93" s="12">
        <f>WORKDAY(AR_age_category!$C93,$J$1)</f>
        <v>45770</v>
      </c>
      <c r="E93" s="13">
        <v>5141.1899999999996</v>
      </c>
      <c r="F93" s="21">
        <f ca="1">IF(AR_table[[#This Row],[due_date]]&gt;=TODAY(),0,NETWORKDAYS(AR_table[[#This Row],[due_date]],TODAY()))</f>
        <v>205</v>
      </c>
      <c r="G93" s="2" t="str">
        <f ca="1">VLOOKUP(AR_age_category!$F93,Table4[#All],2)</f>
        <v>&gt;90</v>
      </c>
    </row>
    <row r="94" spans="1:7" x14ac:dyDescent="0.3">
      <c r="A94" s="11" t="s">
        <v>92</v>
      </c>
      <c r="B94" s="2" t="s">
        <v>595</v>
      </c>
      <c r="C94" s="12">
        <v>45960</v>
      </c>
      <c r="D94" s="12">
        <f>WORKDAY(AR_age_category!$C94,$J$1)</f>
        <v>46002</v>
      </c>
      <c r="E94" s="13">
        <v>6909.77</v>
      </c>
      <c r="F94" s="21">
        <f ca="1">IF(AR_table[[#This Row],[due_date]]&gt;=TODAY(),0,NETWORKDAYS(AR_table[[#This Row],[due_date]],TODAY()))</f>
        <v>39</v>
      </c>
      <c r="G94" s="2" t="str">
        <f ca="1">VLOOKUP(AR_age_category!$F94,Table4[#All],2)</f>
        <v>31-60</v>
      </c>
    </row>
    <row r="95" spans="1:7" x14ac:dyDescent="0.3">
      <c r="A95" s="11" t="s">
        <v>93</v>
      </c>
      <c r="B95" s="2" t="s">
        <v>592</v>
      </c>
      <c r="C95" s="12">
        <v>45925</v>
      </c>
      <c r="D95" s="12">
        <f>WORKDAY(AR_age_category!$C95,$J$1)</f>
        <v>45967</v>
      </c>
      <c r="E95" s="13">
        <v>3944.66</v>
      </c>
      <c r="F95" s="21">
        <f ca="1">IF(AR_table[[#This Row],[due_date]]&gt;=TODAY(),0,NETWORKDAYS(AR_table[[#This Row],[due_date]],TODAY()))</f>
        <v>64</v>
      </c>
      <c r="G95" s="2" t="str">
        <f ca="1">VLOOKUP(AR_age_category!$F95,Table4[#All],2)</f>
        <v>61-90</v>
      </c>
    </row>
    <row r="96" spans="1:7" x14ac:dyDescent="0.3">
      <c r="A96" s="14" t="s">
        <v>94</v>
      </c>
      <c r="B96" s="4" t="s">
        <v>594</v>
      </c>
      <c r="C96" s="15">
        <v>45961</v>
      </c>
      <c r="D96" s="15">
        <f>WORKDAY(AR_age_category!$C96,$J$1)</f>
        <v>46003</v>
      </c>
      <c r="E96" s="16">
        <v>1009.43</v>
      </c>
      <c r="F96" s="21">
        <f ca="1">IF(AR_table[[#This Row],[due_date]]&gt;=TODAY(),0,NETWORKDAYS(AR_table[[#This Row],[due_date]],TODAY()))</f>
        <v>38</v>
      </c>
      <c r="G96" s="4" t="str">
        <f ca="1">VLOOKUP(AR_age_category!$F96,Table4[#All],2)</f>
        <v>31-60</v>
      </c>
    </row>
    <row r="97" spans="1:7" x14ac:dyDescent="0.3">
      <c r="A97" s="11" t="s">
        <v>95</v>
      </c>
      <c r="B97" s="2" t="s">
        <v>593</v>
      </c>
      <c r="C97" s="12">
        <v>46110</v>
      </c>
      <c r="D97" s="12">
        <f>WORKDAY(AR_age_category!$C97,$J$1)</f>
        <v>46150</v>
      </c>
      <c r="E97" s="13">
        <v>1115.26</v>
      </c>
      <c r="F97" s="21">
        <f ca="1">IF(AR_table[[#This Row],[due_date]]&gt;=TODAY(),0,NETWORKDAYS(AR_table[[#This Row],[due_date]],TODAY()))</f>
        <v>0</v>
      </c>
      <c r="G97" s="2" t="str">
        <f ca="1">VLOOKUP(AR_age_category!$F97,Table4[#All],2)</f>
        <v>Not due</v>
      </c>
    </row>
    <row r="98" spans="1:7" x14ac:dyDescent="0.3">
      <c r="A98" s="11" t="s">
        <v>96</v>
      </c>
      <c r="B98" s="2" t="s">
        <v>593</v>
      </c>
      <c r="C98" s="12">
        <v>45917</v>
      </c>
      <c r="D98" s="12">
        <f>WORKDAY(AR_age_category!$C98,$J$1)</f>
        <v>45959</v>
      </c>
      <c r="E98" s="13">
        <v>2786.7</v>
      </c>
      <c r="F98" s="21">
        <f ca="1">IF(AR_table[[#This Row],[due_date]]&gt;=TODAY(),0,NETWORKDAYS(AR_table[[#This Row],[due_date]],TODAY()))</f>
        <v>70</v>
      </c>
      <c r="G98" s="2" t="str">
        <f ca="1">VLOOKUP(AR_age_category!$F98,Table4[#All],2)</f>
        <v>61-90</v>
      </c>
    </row>
    <row r="99" spans="1:7" x14ac:dyDescent="0.3">
      <c r="A99" s="14" t="s">
        <v>97</v>
      </c>
      <c r="B99" s="4" t="s">
        <v>591</v>
      </c>
      <c r="C99" s="15">
        <v>46186</v>
      </c>
      <c r="D99" s="15">
        <f>WORKDAY(AR_age_category!$C99,$J$1)</f>
        <v>46227</v>
      </c>
      <c r="E99" s="16">
        <v>4407.9399999999996</v>
      </c>
      <c r="F99" s="21">
        <f ca="1">IF(AR_table[[#This Row],[due_date]]&gt;=TODAY(),0,NETWORKDAYS(AR_table[[#This Row],[due_date]],TODAY()))</f>
        <v>0</v>
      </c>
      <c r="G99" s="4" t="str">
        <f ca="1">VLOOKUP(AR_age_category!$F99,Table4[#All],2)</f>
        <v>Not due</v>
      </c>
    </row>
    <row r="100" spans="1:7" x14ac:dyDescent="0.3">
      <c r="A100" s="11" t="s">
        <v>98</v>
      </c>
      <c r="B100" s="2" t="s">
        <v>591</v>
      </c>
      <c r="C100" s="12">
        <v>45952</v>
      </c>
      <c r="D100" s="12">
        <f>WORKDAY(AR_age_category!$C100,$J$1)</f>
        <v>45994</v>
      </c>
      <c r="E100" s="13">
        <v>4894.13</v>
      </c>
      <c r="F100" s="21">
        <f ca="1">IF(AR_table[[#This Row],[due_date]]&gt;=TODAY(),0,NETWORKDAYS(AR_table[[#This Row],[due_date]],TODAY()))</f>
        <v>45</v>
      </c>
      <c r="G100" s="2" t="str">
        <f ca="1">VLOOKUP(AR_age_category!$F100,Table4[#All],2)</f>
        <v>31-60</v>
      </c>
    </row>
    <row r="101" spans="1:7" x14ac:dyDescent="0.3">
      <c r="A101" s="14" t="s">
        <v>99</v>
      </c>
      <c r="B101" s="4" t="s">
        <v>593</v>
      </c>
      <c r="C101" s="15">
        <v>46152</v>
      </c>
      <c r="D101" s="15">
        <f>WORKDAY(AR_age_category!$C101,$J$1)</f>
        <v>46192</v>
      </c>
      <c r="E101" s="16">
        <v>6832.48</v>
      </c>
      <c r="F101" s="21">
        <f ca="1">IF(AR_table[[#This Row],[due_date]]&gt;=TODAY(),0,NETWORKDAYS(AR_table[[#This Row],[due_date]],TODAY()))</f>
        <v>0</v>
      </c>
      <c r="G101" s="4" t="str">
        <f ca="1">VLOOKUP(AR_age_category!$F101,Table4[#All],2)</f>
        <v>Not due</v>
      </c>
    </row>
    <row r="102" spans="1:7" x14ac:dyDescent="0.3">
      <c r="A102" s="11" t="s">
        <v>100</v>
      </c>
      <c r="B102" s="2" t="s">
        <v>591</v>
      </c>
      <c r="C102" s="12">
        <v>45904</v>
      </c>
      <c r="D102" s="12">
        <f>WORKDAY(AR_age_category!$C102,$J$1)</f>
        <v>45946</v>
      </c>
      <c r="E102" s="13">
        <v>2060.19</v>
      </c>
      <c r="F102" s="21">
        <f ca="1">IF(AR_table[[#This Row],[due_date]]&gt;=TODAY(),0,NETWORKDAYS(AR_table[[#This Row],[due_date]],TODAY()))</f>
        <v>79</v>
      </c>
      <c r="G102" s="2" t="str">
        <f ca="1">VLOOKUP(AR_age_category!$F102,Table4[#All],2)</f>
        <v>61-90</v>
      </c>
    </row>
    <row r="103" spans="1:7" x14ac:dyDescent="0.3">
      <c r="A103" s="14" t="s">
        <v>101</v>
      </c>
      <c r="B103" s="4" t="s">
        <v>595</v>
      </c>
      <c r="C103" s="15">
        <v>46129</v>
      </c>
      <c r="D103" s="15">
        <f>WORKDAY(AR_age_category!$C103,$J$1)</f>
        <v>46171</v>
      </c>
      <c r="E103" s="16">
        <v>6302.98</v>
      </c>
      <c r="F103" s="21">
        <f ca="1">IF(AR_table[[#This Row],[due_date]]&gt;=TODAY(),0,NETWORKDAYS(AR_table[[#This Row],[due_date]],TODAY()))</f>
        <v>0</v>
      </c>
      <c r="G103" s="4" t="str">
        <f ca="1">VLOOKUP(AR_age_category!$F103,Table4[#All],2)</f>
        <v>Not due</v>
      </c>
    </row>
    <row r="104" spans="1:7" x14ac:dyDescent="0.3">
      <c r="A104" s="11" t="s">
        <v>102</v>
      </c>
      <c r="B104" s="2" t="s">
        <v>595</v>
      </c>
      <c r="C104" s="12">
        <v>45880</v>
      </c>
      <c r="D104" s="12">
        <f>WORKDAY(AR_age_category!$C104,$J$1)</f>
        <v>45922</v>
      </c>
      <c r="E104" s="13">
        <v>6748</v>
      </c>
      <c r="F104" s="21">
        <f ca="1">IF(AR_table[[#This Row],[due_date]]&gt;=TODAY(),0,NETWORKDAYS(AR_table[[#This Row],[due_date]],TODAY()))</f>
        <v>97</v>
      </c>
      <c r="G104" s="2" t="str">
        <f ca="1">VLOOKUP(AR_age_category!$F104,Table4[#All],2)</f>
        <v>&gt;90</v>
      </c>
    </row>
    <row r="105" spans="1:7" x14ac:dyDescent="0.3">
      <c r="A105" s="14" t="s">
        <v>103</v>
      </c>
      <c r="B105" s="4" t="s">
        <v>594</v>
      </c>
      <c r="C105" s="15">
        <v>45944</v>
      </c>
      <c r="D105" s="15">
        <f>WORKDAY(AR_age_category!$C105,$J$1)</f>
        <v>45986</v>
      </c>
      <c r="E105" s="16">
        <v>7996.24</v>
      </c>
      <c r="F105" s="21">
        <f ca="1">IF(AR_table[[#This Row],[due_date]]&gt;=TODAY(),0,NETWORKDAYS(AR_table[[#This Row],[due_date]],TODAY()))</f>
        <v>51</v>
      </c>
      <c r="G105" s="4" t="str">
        <f ca="1">VLOOKUP(AR_age_category!$F105,Table4[#All],2)</f>
        <v>31-60</v>
      </c>
    </row>
    <row r="106" spans="1:7" x14ac:dyDescent="0.3">
      <c r="A106" s="14" t="s">
        <v>104</v>
      </c>
      <c r="B106" s="4" t="s">
        <v>591</v>
      </c>
      <c r="C106" s="15">
        <v>46115</v>
      </c>
      <c r="D106" s="15">
        <f>WORKDAY(AR_age_category!$C106,$J$1)</f>
        <v>46157</v>
      </c>
      <c r="E106" s="16">
        <v>6175.65</v>
      </c>
      <c r="F106" s="21">
        <f ca="1">IF(AR_table[[#This Row],[due_date]]&gt;=TODAY(),0,NETWORKDAYS(AR_table[[#This Row],[due_date]],TODAY()))</f>
        <v>0</v>
      </c>
      <c r="G106" s="4" t="str">
        <f ca="1">VLOOKUP(AR_age_category!$F106,Table4[#All],2)</f>
        <v>Not due</v>
      </c>
    </row>
    <row r="107" spans="1:7" x14ac:dyDescent="0.3">
      <c r="A107" s="11" t="s">
        <v>105</v>
      </c>
      <c r="B107" s="2" t="s">
        <v>594</v>
      </c>
      <c r="C107" s="12">
        <v>45911</v>
      </c>
      <c r="D107" s="12">
        <f>WORKDAY(AR_age_category!$C107,$J$1)</f>
        <v>45953</v>
      </c>
      <c r="E107" s="13">
        <v>1636.23</v>
      </c>
      <c r="F107" s="21">
        <f ca="1">IF(AR_table[[#This Row],[due_date]]&gt;=TODAY(),0,NETWORKDAYS(AR_table[[#This Row],[due_date]],TODAY()))</f>
        <v>74</v>
      </c>
      <c r="G107" s="2" t="str">
        <f ca="1">VLOOKUP(AR_age_category!$F107,Table4[#All],2)</f>
        <v>61-90</v>
      </c>
    </row>
    <row r="108" spans="1:7" x14ac:dyDescent="0.3">
      <c r="A108" s="11" t="s">
        <v>106</v>
      </c>
      <c r="B108" s="2" t="s">
        <v>594</v>
      </c>
      <c r="C108" s="12">
        <v>45822</v>
      </c>
      <c r="D108" s="12">
        <f>WORKDAY(AR_age_category!$C108,$J$1)</f>
        <v>45863</v>
      </c>
      <c r="E108" s="13">
        <v>1194.4100000000001</v>
      </c>
      <c r="F108" s="21">
        <f ca="1">IF(AR_table[[#This Row],[due_date]]&gt;=TODAY(),0,NETWORKDAYS(AR_table[[#This Row],[due_date]],TODAY()))</f>
        <v>138</v>
      </c>
      <c r="G108" s="2" t="str">
        <f ca="1">VLOOKUP(AR_age_category!$F108,Table4[#All],2)</f>
        <v>&gt;90</v>
      </c>
    </row>
    <row r="109" spans="1:7" x14ac:dyDescent="0.3">
      <c r="A109" s="11" t="s">
        <v>107</v>
      </c>
      <c r="B109" s="2" t="s">
        <v>593</v>
      </c>
      <c r="C109" s="12">
        <v>45992</v>
      </c>
      <c r="D109" s="12">
        <f>WORKDAY(AR_age_category!$C109,$J$1)</f>
        <v>46034</v>
      </c>
      <c r="E109" s="13">
        <v>426.96</v>
      </c>
      <c r="F109" s="21">
        <f ca="1">IF(AR_table[[#This Row],[due_date]]&gt;=TODAY(),0,NETWORKDAYS(AR_table[[#This Row],[due_date]],TODAY()))</f>
        <v>17</v>
      </c>
      <c r="G109" s="2" t="str">
        <f ca="1">VLOOKUP(AR_age_category!$F109,Table4[#All],2)</f>
        <v>1-30</v>
      </c>
    </row>
    <row r="110" spans="1:7" x14ac:dyDescent="0.3">
      <c r="A110" s="14" t="s">
        <v>108</v>
      </c>
      <c r="B110" s="4" t="s">
        <v>595</v>
      </c>
      <c r="C110" s="15">
        <v>46149</v>
      </c>
      <c r="D110" s="15">
        <f>WORKDAY(AR_age_category!$C110,$J$1)</f>
        <v>46191</v>
      </c>
      <c r="E110" s="16">
        <v>3349.63</v>
      </c>
      <c r="F110" s="21">
        <f ca="1">IF(AR_table[[#This Row],[due_date]]&gt;=TODAY(),0,NETWORKDAYS(AR_table[[#This Row],[due_date]],TODAY()))</f>
        <v>0</v>
      </c>
      <c r="G110" s="4" t="str">
        <f ca="1">VLOOKUP(AR_age_category!$F110,Table4[#All],2)</f>
        <v>Not due</v>
      </c>
    </row>
    <row r="111" spans="1:7" x14ac:dyDescent="0.3">
      <c r="A111" s="14" t="s">
        <v>109</v>
      </c>
      <c r="B111" s="4" t="s">
        <v>595</v>
      </c>
      <c r="C111" s="15">
        <v>45780</v>
      </c>
      <c r="D111" s="15">
        <f>WORKDAY(AR_age_category!$C111,$J$1)</f>
        <v>45821</v>
      </c>
      <c r="E111" s="16">
        <v>3681.26</v>
      </c>
      <c r="F111" s="21">
        <f ca="1">IF(AR_table[[#This Row],[due_date]]&gt;=TODAY(),0,NETWORKDAYS(AR_table[[#This Row],[due_date]],TODAY()))</f>
        <v>168</v>
      </c>
      <c r="G111" s="4" t="str">
        <f ca="1">VLOOKUP(AR_age_category!$F111,Table4[#All],2)</f>
        <v>&gt;90</v>
      </c>
    </row>
    <row r="112" spans="1:7" x14ac:dyDescent="0.3">
      <c r="A112" s="14" t="s">
        <v>110</v>
      </c>
      <c r="B112" s="4" t="s">
        <v>592</v>
      </c>
      <c r="C112" s="15">
        <v>46059</v>
      </c>
      <c r="D112" s="15">
        <f>WORKDAY(AR_age_category!$C112,$J$1)</f>
        <v>46101</v>
      </c>
      <c r="E112" s="16">
        <v>6512.91</v>
      </c>
      <c r="F112" s="21">
        <f ca="1">IF(AR_table[[#This Row],[due_date]]&gt;=TODAY(),0,NETWORKDAYS(AR_table[[#This Row],[due_date]],TODAY()))</f>
        <v>0</v>
      </c>
      <c r="G112" s="4" t="str">
        <f ca="1">VLOOKUP(AR_age_category!$F112,Table4[#All],2)</f>
        <v>Not due</v>
      </c>
    </row>
    <row r="113" spans="1:7" x14ac:dyDescent="0.3">
      <c r="A113" s="11" t="s">
        <v>111</v>
      </c>
      <c r="B113" s="2" t="s">
        <v>593</v>
      </c>
      <c r="C113" s="12">
        <v>46001</v>
      </c>
      <c r="D113" s="12">
        <f>WORKDAY(AR_age_category!$C113,$J$1)</f>
        <v>46043</v>
      </c>
      <c r="E113" s="13">
        <v>5880.66</v>
      </c>
      <c r="F113" s="21">
        <f ca="1">IF(AR_table[[#This Row],[due_date]]&gt;=TODAY(),0,NETWORKDAYS(AR_table[[#This Row],[due_date]],TODAY()))</f>
        <v>10</v>
      </c>
      <c r="G113" s="2" t="str">
        <f ca="1">VLOOKUP(AR_age_category!$F113,Table4[#All],2)</f>
        <v>1-30</v>
      </c>
    </row>
    <row r="114" spans="1:7" x14ac:dyDescent="0.3">
      <c r="A114" s="14" t="s">
        <v>112</v>
      </c>
      <c r="B114" s="4" t="s">
        <v>592</v>
      </c>
      <c r="C114" s="15">
        <v>46079</v>
      </c>
      <c r="D114" s="15">
        <f>WORKDAY(AR_age_category!$C114,$J$1)</f>
        <v>46121</v>
      </c>
      <c r="E114" s="16">
        <v>6131.33</v>
      </c>
      <c r="F114" s="21">
        <f ca="1">IF(AR_table[[#This Row],[due_date]]&gt;=TODAY(),0,NETWORKDAYS(AR_table[[#This Row],[due_date]],TODAY()))</f>
        <v>0</v>
      </c>
      <c r="G114" s="4" t="str">
        <f ca="1">VLOOKUP(AR_age_category!$F114,Table4[#All],2)</f>
        <v>Not due</v>
      </c>
    </row>
    <row r="115" spans="1:7" x14ac:dyDescent="0.3">
      <c r="A115" s="11" t="s">
        <v>113</v>
      </c>
      <c r="B115" s="2" t="s">
        <v>595</v>
      </c>
      <c r="C115" s="12">
        <v>45708</v>
      </c>
      <c r="D115" s="12">
        <f>WORKDAY(AR_age_category!$C115,$J$1)</f>
        <v>45750</v>
      </c>
      <c r="E115" s="13">
        <v>5140.8500000000004</v>
      </c>
      <c r="F115" s="21">
        <f ca="1">IF(AR_table[[#This Row],[due_date]]&gt;=TODAY(),0,NETWORKDAYS(AR_table[[#This Row],[due_date]],TODAY()))</f>
        <v>219</v>
      </c>
      <c r="G115" s="2" t="str">
        <f ca="1">VLOOKUP(AR_age_category!$F115,Table4[#All],2)</f>
        <v>&gt;90</v>
      </c>
    </row>
    <row r="116" spans="1:7" x14ac:dyDescent="0.3">
      <c r="A116" s="11" t="s">
        <v>114</v>
      </c>
      <c r="B116" s="2" t="s">
        <v>594</v>
      </c>
      <c r="C116" s="12">
        <v>45928</v>
      </c>
      <c r="D116" s="12">
        <f>WORKDAY(AR_age_category!$C116,$J$1)</f>
        <v>45968</v>
      </c>
      <c r="E116" s="13">
        <v>2799.03</v>
      </c>
      <c r="F116" s="21">
        <f ca="1">IF(AR_table[[#This Row],[due_date]]&gt;=TODAY(),0,NETWORKDAYS(AR_table[[#This Row],[due_date]],TODAY()))</f>
        <v>63</v>
      </c>
      <c r="G116" s="2" t="str">
        <f ca="1">VLOOKUP(AR_age_category!$F116,Table4[#All],2)</f>
        <v>61-90</v>
      </c>
    </row>
    <row r="117" spans="1:7" x14ac:dyDescent="0.3">
      <c r="A117" s="14" t="s">
        <v>115</v>
      </c>
      <c r="B117" s="4" t="s">
        <v>593</v>
      </c>
      <c r="C117" s="15">
        <v>45864</v>
      </c>
      <c r="D117" s="15">
        <f>WORKDAY(AR_age_category!$C117,$J$1)</f>
        <v>45905</v>
      </c>
      <c r="E117" s="16">
        <v>6835.74</v>
      </c>
      <c r="F117" s="21">
        <f ca="1">IF(AR_table[[#This Row],[due_date]]&gt;=TODAY(),0,NETWORKDAYS(AR_table[[#This Row],[due_date]],TODAY()))</f>
        <v>108</v>
      </c>
      <c r="G117" s="4" t="str">
        <f ca="1">VLOOKUP(AR_age_category!$F117,Table4[#All],2)</f>
        <v>&gt;90</v>
      </c>
    </row>
    <row r="118" spans="1:7" x14ac:dyDescent="0.3">
      <c r="A118" s="11" t="s">
        <v>116</v>
      </c>
      <c r="B118" s="2" t="s">
        <v>592</v>
      </c>
      <c r="C118" s="12">
        <v>46152</v>
      </c>
      <c r="D118" s="12">
        <f>WORKDAY(AR_age_category!$C118,$J$1)</f>
        <v>46192</v>
      </c>
      <c r="E118" s="13">
        <v>6160.95</v>
      </c>
      <c r="F118" s="21">
        <f ca="1">IF(AR_table[[#This Row],[due_date]]&gt;=TODAY(),0,NETWORKDAYS(AR_table[[#This Row],[due_date]],TODAY()))</f>
        <v>0</v>
      </c>
      <c r="G118" s="2" t="str">
        <f ca="1">VLOOKUP(AR_age_category!$F118,Table4[#All],2)</f>
        <v>Not due</v>
      </c>
    </row>
    <row r="119" spans="1:7" x14ac:dyDescent="0.3">
      <c r="A119" s="14" t="s">
        <v>117</v>
      </c>
      <c r="B119" s="4" t="s">
        <v>595</v>
      </c>
      <c r="C119" s="15">
        <v>45719</v>
      </c>
      <c r="D119" s="15">
        <f>WORKDAY(AR_age_category!$C119,$J$1)</f>
        <v>45761</v>
      </c>
      <c r="E119" s="16">
        <v>2426.38</v>
      </c>
      <c r="F119" s="21">
        <f ca="1">IF(AR_table[[#This Row],[due_date]]&gt;=TODAY(),0,NETWORKDAYS(AR_table[[#This Row],[due_date]],TODAY()))</f>
        <v>212</v>
      </c>
      <c r="G119" s="4" t="str">
        <f ca="1">VLOOKUP(AR_age_category!$F119,Table4[#All],2)</f>
        <v>&gt;90</v>
      </c>
    </row>
    <row r="120" spans="1:7" x14ac:dyDescent="0.3">
      <c r="A120" s="11" t="s">
        <v>118</v>
      </c>
      <c r="B120" s="2" t="s">
        <v>595</v>
      </c>
      <c r="C120" s="12">
        <v>45659</v>
      </c>
      <c r="D120" s="12">
        <f>WORKDAY(AR_age_category!$C120,$J$1)</f>
        <v>45701</v>
      </c>
      <c r="E120" s="13">
        <v>895.39</v>
      </c>
      <c r="F120" s="21">
        <f ca="1">IF(AR_table[[#This Row],[due_date]]&gt;=TODAY(),0,NETWORKDAYS(AR_table[[#This Row],[due_date]],TODAY()))</f>
        <v>254</v>
      </c>
      <c r="G120" s="2" t="str">
        <f ca="1">VLOOKUP(AR_age_category!$F120,Table4[#All],2)</f>
        <v>&gt;90</v>
      </c>
    </row>
    <row r="121" spans="1:7" x14ac:dyDescent="0.3">
      <c r="A121" s="14" t="s">
        <v>119</v>
      </c>
      <c r="B121" s="4" t="s">
        <v>595</v>
      </c>
      <c r="C121" s="15">
        <v>46117</v>
      </c>
      <c r="D121" s="15">
        <f>WORKDAY(AR_age_category!$C121,$J$1)</f>
        <v>46157</v>
      </c>
      <c r="E121" s="16">
        <v>1425.44</v>
      </c>
      <c r="F121" s="21">
        <f ca="1">IF(AR_table[[#This Row],[due_date]]&gt;=TODAY(),0,NETWORKDAYS(AR_table[[#This Row],[due_date]],TODAY()))</f>
        <v>0</v>
      </c>
      <c r="G121" s="4" t="str">
        <f ca="1">VLOOKUP(AR_age_category!$F121,Table4[#All],2)</f>
        <v>Not due</v>
      </c>
    </row>
    <row r="122" spans="1:7" x14ac:dyDescent="0.3">
      <c r="A122" s="11" t="s">
        <v>120</v>
      </c>
      <c r="B122" s="2" t="s">
        <v>593</v>
      </c>
      <c r="C122" s="12">
        <v>46062</v>
      </c>
      <c r="D122" s="12">
        <f>WORKDAY(AR_age_category!$C122,$J$1)</f>
        <v>46104</v>
      </c>
      <c r="E122" s="13">
        <v>7615.32</v>
      </c>
      <c r="F122" s="21">
        <f ca="1">IF(AR_table[[#This Row],[due_date]]&gt;=TODAY(),0,NETWORKDAYS(AR_table[[#This Row],[due_date]],TODAY()))</f>
        <v>0</v>
      </c>
      <c r="G122" s="2" t="str">
        <f ca="1">VLOOKUP(AR_age_category!$F122,Table4[#All],2)</f>
        <v>Not due</v>
      </c>
    </row>
    <row r="123" spans="1:7" x14ac:dyDescent="0.3">
      <c r="A123" s="14" t="s">
        <v>121</v>
      </c>
      <c r="B123" s="4" t="s">
        <v>592</v>
      </c>
      <c r="C123" s="15">
        <v>45826</v>
      </c>
      <c r="D123" s="15">
        <f>WORKDAY(AR_age_category!$C123,$J$1)</f>
        <v>45868</v>
      </c>
      <c r="E123" s="16">
        <v>5139.07</v>
      </c>
      <c r="F123" s="21">
        <f ca="1">IF(AR_table[[#This Row],[due_date]]&gt;=TODAY(),0,NETWORKDAYS(AR_table[[#This Row],[due_date]],TODAY()))</f>
        <v>135</v>
      </c>
      <c r="G123" s="4" t="str">
        <f ca="1">VLOOKUP(AR_age_category!$F123,Table4[#All],2)</f>
        <v>&gt;90</v>
      </c>
    </row>
    <row r="124" spans="1:7" x14ac:dyDescent="0.3">
      <c r="A124" s="11" t="s">
        <v>122</v>
      </c>
      <c r="B124" s="2" t="s">
        <v>591</v>
      </c>
      <c r="C124" s="12">
        <v>45942</v>
      </c>
      <c r="D124" s="12">
        <f>WORKDAY(AR_age_category!$C124,$J$1)</f>
        <v>45982</v>
      </c>
      <c r="E124" s="13">
        <v>5167.68</v>
      </c>
      <c r="F124" s="21">
        <f ca="1">IF(AR_table[[#This Row],[due_date]]&gt;=TODAY(),0,NETWORKDAYS(AR_table[[#This Row],[due_date]],TODAY()))</f>
        <v>53</v>
      </c>
      <c r="G124" s="2" t="str">
        <f ca="1">VLOOKUP(AR_age_category!$F124,Table4[#All],2)</f>
        <v>31-60</v>
      </c>
    </row>
    <row r="125" spans="1:7" x14ac:dyDescent="0.3">
      <c r="A125" s="14" t="s">
        <v>123</v>
      </c>
      <c r="B125" s="4" t="s">
        <v>595</v>
      </c>
      <c r="C125" s="15">
        <v>45875</v>
      </c>
      <c r="D125" s="15">
        <f>WORKDAY(AR_age_category!$C125,$J$1)</f>
        <v>45917</v>
      </c>
      <c r="E125" s="16">
        <v>3033.26</v>
      </c>
      <c r="F125" s="21">
        <f ca="1">IF(AR_table[[#This Row],[due_date]]&gt;=TODAY(),0,NETWORKDAYS(AR_table[[#This Row],[due_date]],TODAY()))</f>
        <v>100</v>
      </c>
      <c r="G125" s="4" t="str">
        <f ca="1">VLOOKUP(AR_age_category!$F125,Table4[#All],2)</f>
        <v>&gt;90</v>
      </c>
    </row>
    <row r="126" spans="1:7" x14ac:dyDescent="0.3">
      <c r="A126" s="11" t="s">
        <v>124</v>
      </c>
      <c r="B126" s="2" t="s">
        <v>595</v>
      </c>
      <c r="C126" s="12">
        <v>45970</v>
      </c>
      <c r="D126" s="12">
        <f>WORKDAY(AR_age_category!$C126,$J$1)</f>
        <v>46010</v>
      </c>
      <c r="E126" s="13">
        <v>4360.84</v>
      </c>
      <c r="F126" s="21">
        <f ca="1">IF(AR_table[[#This Row],[due_date]]&gt;=TODAY(),0,NETWORKDAYS(AR_table[[#This Row],[due_date]],TODAY()))</f>
        <v>33</v>
      </c>
      <c r="G126" s="2" t="str">
        <f ca="1">VLOOKUP(AR_age_category!$F126,Table4[#All],2)</f>
        <v>31-60</v>
      </c>
    </row>
    <row r="127" spans="1:7" x14ac:dyDescent="0.3">
      <c r="A127" s="14" t="s">
        <v>125</v>
      </c>
      <c r="B127" s="4" t="s">
        <v>594</v>
      </c>
      <c r="C127" s="15">
        <v>45738</v>
      </c>
      <c r="D127" s="15">
        <f>WORKDAY(AR_age_category!$C127,$J$1)</f>
        <v>45779</v>
      </c>
      <c r="E127" s="16">
        <v>3594.45</v>
      </c>
      <c r="F127" s="21">
        <f ca="1">IF(AR_table[[#This Row],[due_date]]&gt;=TODAY(),0,NETWORKDAYS(AR_table[[#This Row],[due_date]],TODAY()))</f>
        <v>198</v>
      </c>
      <c r="G127" s="4" t="str">
        <f ca="1">VLOOKUP(AR_age_category!$F127,Table4[#All],2)</f>
        <v>&gt;90</v>
      </c>
    </row>
    <row r="128" spans="1:7" x14ac:dyDescent="0.3">
      <c r="A128" s="11" t="s">
        <v>126</v>
      </c>
      <c r="B128" s="2" t="s">
        <v>594</v>
      </c>
      <c r="C128" s="12">
        <v>46048</v>
      </c>
      <c r="D128" s="12">
        <f>WORKDAY(AR_age_category!$C128,$J$1)</f>
        <v>46090</v>
      </c>
      <c r="E128" s="13">
        <v>532.94000000000005</v>
      </c>
      <c r="F128" s="21">
        <f ca="1">IF(AR_table[[#This Row],[due_date]]&gt;=TODAY(),0,NETWORKDAYS(AR_table[[#This Row],[due_date]],TODAY()))</f>
        <v>0</v>
      </c>
      <c r="G128" s="2" t="str">
        <f ca="1">VLOOKUP(AR_age_category!$F128,Table4[#All],2)</f>
        <v>Not due</v>
      </c>
    </row>
    <row r="129" spans="1:7" x14ac:dyDescent="0.3">
      <c r="A129" s="14" t="s">
        <v>127</v>
      </c>
      <c r="B129" s="4" t="s">
        <v>593</v>
      </c>
      <c r="C129" s="15">
        <v>45813</v>
      </c>
      <c r="D129" s="15">
        <f>WORKDAY(AR_age_category!$C129,$J$1)</f>
        <v>45855</v>
      </c>
      <c r="E129" s="16">
        <v>3313.6</v>
      </c>
      <c r="F129" s="21">
        <f ca="1">IF(AR_table[[#This Row],[due_date]]&gt;=TODAY(),0,NETWORKDAYS(AR_table[[#This Row],[due_date]],TODAY()))</f>
        <v>144</v>
      </c>
      <c r="G129" s="4" t="str">
        <f ca="1">VLOOKUP(AR_age_category!$F129,Table4[#All],2)</f>
        <v>&gt;90</v>
      </c>
    </row>
    <row r="130" spans="1:7" x14ac:dyDescent="0.3">
      <c r="A130" s="11" t="s">
        <v>128</v>
      </c>
      <c r="B130" s="2" t="s">
        <v>593</v>
      </c>
      <c r="C130" s="12">
        <v>45902</v>
      </c>
      <c r="D130" s="12">
        <f>WORKDAY(AR_age_category!$C130,$J$1)</f>
        <v>45944</v>
      </c>
      <c r="E130" s="13">
        <v>1217.21</v>
      </c>
      <c r="F130" s="21">
        <f ca="1">IF(AR_table[[#This Row],[due_date]]&gt;=TODAY(),0,NETWORKDAYS(AR_table[[#This Row],[due_date]],TODAY()))</f>
        <v>81</v>
      </c>
      <c r="G130" s="2" t="str">
        <f ca="1">VLOOKUP(AR_age_category!$F130,Table4[#All],2)</f>
        <v>61-90</v>
      </c>
    </row>
    <row r="131" spans="1:7" x14ac:dyDescent="0.3">
      <c r="A131" s="14" t="s">
        <v>129</v>
      </c>
      <c r="B131" s="4" t="s">
        <v>591</v>
      </c>
      <c r="C131" s="15">
        <v>45693</v>
      </c>
      <c r="D131" s="15">
        <f>WORKDAY(AR_age_category!$C131,$J$1)</f>
        <v>45735</v>
      </c>
      <c r="E131" s="16">
        <v>2638.46</v>
      </c>
      <c r="F131" s="21">
        <f ca="1">IF(AR_table[[#This Row],[due_date]]&gt;=TODAY(),0,NETWORKDAYS(AR_table[[#This Row],[due_date]],TODAY()))</f>
        <v>230</v>
      </c>
      <c r="G131" s="4" t="str">
        <f ca="1">VLOOKUP(AR_age_category!$F131,Table4[#All],2)</f>
        <v>&gt;90</v>
      </c>
    </row>
    <row r="132" spans="1:7" x14ac:dyDescent="0.3">
      <c r="A132" s="11" t="s">
        <v>130</v>
      </c>
      <c r="B132" s="2" t="s">
        <v>593</v>
      </c>
      <c r="C132" s="12">
        <v>45738</v>
      </c>
      <c r="D132" s="12">
        <f>WORKDAY(AR_age_category!$C132,$J$1)</f>
        <v>45779</v>
      </c>
      <c r="E132" s="13">
        <v>1769.81</v>
      </c>
      <c r="F132" s="21">
        <f ca="1">IF(AR_table[[#This Row],[due_date]]&gt;=TODAY(),0,NETWORKDAYS(AR_table[[#This Row],[due_date]],TODAY()))</f>
        <v>198</v>
      </c>
      <c r="G132" s="2" t="str">
        <f ca="1">VLOOKUP(AR_age_category!$F132,Table4[#All],2)</f>
        <v>&gt;90</v>
      </c>
    </row>
    <row r="133" spans="1:7" x14ac:dyDescent="0.3">
      <c r="A133" s="14" t="s">
        <v>131</v>
      </c>
      <c r="B133" s="4" t="s">
        <v>592</v>
      </c>
      <c r="C133" s="15">
        <v>46093</v>
      </c>
      <c r="D133" s="15">
        <f>WORKDAY(AR_age_category!$C133,$J$1)</f>
        <v>46135</v>
      </c>
      <c r="E133" s="16">
        <v>358</v>
      </c>
      <c r="F133" s="21">
        <f ca="1">IF(AR_table[[#This Row],[due_date]]&gt;=TODAY(),0,NETWORKDAYS(AR_table[[#This Row],[due_date]],TODAY()))</f>
        <v>0</v>
      </c>
      <c r="G133" s="4" t="str">
        <f ca="1">VLOOKUP(AR_age_category!$F133,Table4[#All],2)</f>
        <v>Not due</v>
      </c>
    </row>
    <row r="134" spans="1:7" x14ac:dyDescent="0.3">
      <c r="A134" s="11" t="s">
        <v>132</v>
      </c>
      <c r="B134" s="2" t="s">
        <v>595</v>
      </c>
      <c r="C134" s="12">
        <v>45818</v>
      </c>
      <c r="D134" s="12">
        <f>WORKDAY(AR_age_category!$C134,$J$1)</f>
        <v>45860</v>
      </c>
      <c r="E134" s="13">
        <v>6116.96</v>
      </c>
      <c r="F134" s="21">
        <f ca="1">IF(AR_table[[#This Row],[due_date]]&gt;=TODAY(),0,NETWORKDAYS(AR_table[[#This Row],[due_date]],TODAY()))</f>
        <v>141</v>
      </c>
      <c r="G134" s="2" t="str">
        <f ca="1">VLOOKUP(AR_age_category!$F134,Table4[#All],2)</f>
        <v>&gt;90</v>
      </c>
    </row>
    <row r="135" spans="1:7" x14ac:dyDescent="0.3">
      <c r="A135" s="14" t="s">
        <v>133</v>
      </c>
      <c r="B135" s="4" t="s">
        <v>592</v>
      </c>
      <c r="C135" s="15">
        <v>45737</v>
      </c>
      <c r="D135" s="15">
        <f>WORKDAY(AR_age_category!$C135,$J$1)</f>
        <v>45779</v>
      </c>
      <c r="E135" s="16">
        <v>4500.46</v>
      </c>
      <c r="F135" s="21">
        <f ca="1">IF(AR_table[[#This Row],[due_date]]&gt;=TODAY(),0,NETWORKDAYS(AR_table[[#This Row],[due_date]],TODAY()))</f>
        <v>198</v>
      </c>
      <c r="G135" s="4" t="str">
        <f ca="1">VLOOKUP(AR_age_category!$F135,Table4[#All],2)</f>
        <v>&gt;90</v>
      </c>
    </row>
    <row r="136" spans="1:7" x14ac:dyDescent="0.3">
      <c r="A136" s="11" t="s">
        <v>134</v>
      </c>
      <c r="B136" s="2" t="s">
        <v>593</v>
      </c>
      <c r="C136" s="12">
        <v>45920</v>
      </c>
      <c r="D136" s="12">
        <f>WORKDAY(AR_age_category!$C136,$J$1)</f>
        <v>45961</v>
      </c>
      <c r="E136" s="13">
        <v>5401.26</v>
      </c>
      <c r="F136" s="21">
        <f ca="1">IF(AR_table[[#This Row],[due_date]]&gt;=TODAY(),0,NETWORKDAYS(AR_table[[#This Row],[due_date]],TODAY()))</f>
        <v>68</v>
      </c>
      <c r="G136" s="2" t="str">
        <f ca="1">VLOOKUP(AR_age_category!$F136,Table4[#All],2)</f>
        <v>61-90</v>
      </c>
    </row>
    <row r="137" spans="1:7" x14ac:dyDescent="0.3">
      <c r="A137" s="14" t="s">
        <v>135</v>
      </c>
      <c r="B137" s="4" t="s">
        <v>591</v>
      </c>
      <c r="C137" s="15">
        <v>46123</v>
      </c>
      <c r="D137" s="15">
        <f>WORKDAY(AR_age_category!$C137,$J$1)</f>
        <v>46164</v>
      </c>
      <c r="E137" s="16">
        <v>1321.36</v>
      </c>
      <c r="F137" s="21">
        <f ca="1">IF(AR_table[[#This Row],[due_date]]&gt;=TODAY(),0,NETWORKDAYS(AR_table[[#This Row],[due_date]],TODAY()))</f>
        <v>0</v>
      </c>
      <c r="G137" s="4" t="str">
        <f ca="1">VLOOKUP(AR_age_category!$F137,Table4[#All],2)</f>
        <v>Not due</v>
      </c>
    </row>
    <row r="138" spans="1:7" x14ac:dyDescent="0.3">
      <c r="A138" s="14" t="s">
        <v>136</v>
      </c>
      <c r="B138" s="4" t="s">
        <v>591</v>
      </c>
      <c r="C138" s="15">
        <v>45812</v>
      </c>
      <c r="D138" s="15">
        <f>WORKDAY(AR_age_category!$C138,$J$1)</f>
        <v>45854</v>
      </c>
      <c r="E138" s="16">
        <v>1910.09</v>
      </c>
      <c r="F138" s="21">
        <f ca="1">IF(AR_table[[#This Row],[due_date]]&gt;=TODAY(),0,NETWORKDAYS(AR_table[[#This Row],[due_date]],TODAY()))</f>
        <v>145</v>
      </c>
      <c r="G138" s="4" t="str">
        <f ca="1">VLOOKUP(AR_age_category!$F138,Table4[#All],2)</f>
        <v>&gt;90</v>
      </c>
    </row>
    <row r="139" spans="1:7" x14ac:dyDescent="0.3">
      <c r="A139" s="11" t="s">
        <v>137</v>
      </c>
      <c r="B139" s="2" t="s">
        <v>594</v>
      </c>
      <c r="C139" s="12">
        <v>45706</v>
      </c>
      <c r="D139" s="12">
        <f>WORKDAY(AR_age_category!$C139,$J$1)</f>
        <v>45748</v>
      </c>
      <c r="E139" s="13">
        <v>1732.73</v>
      </c>
      <c r="F139" s="21">
        <f ca="1">IF(AR_table[[#This Row],[due_date]]&gt;=TODAY(),0,NETWORKDAYS(AR_table[[#This Row],[due_date]],TODAY()))</f>
        <v>221</v>
      </c>
      <c r="G139" s="2" t="str">
        <f ca="1">VLOOKUP(AR_age_category!$F139,Table4[#All],2)</f>
        <v>&gt;90</v>
      </c>
    </row>
    <row r="140" spans="1:7" x14ac:dyDescent="0.3">
      <c r="A140" s="14" t="s">
        <v>138</v>
      </c>
      <c r="B140" s="4" t="s">
        <v>593</v>
      </c>
      <c r="C140" s="15">
        <v>45966</v>
      </c>
      <c r="D140" s="15">
        <f>WORKDAY(AR_age_category!$C140,$J$1)</f>
        <v>46008</v>
      </c>
      <c r="E140" s="16">
        <v>7442.79</v>
      </c>
      <c r="F140" s="21">
        <f ca="1">IF(AR_table[[#This Row],[due_date]]&gt;=TODAY(),0,NETWORKDAYS(AR_table[[#This Row],[due_date]],TODAY()))</f>
        <v>35</v>
      </c>
      <c r="G140" s="4" t="str">
        <f ca="1">VLOOKUP(AR_age_category!$F140,Table4[#All],2)</f>
        <v>31-60</v>
      </c>
    </row>
    <row r="141" spans="1:7" x14ac:dyDescent="0.3">
      <c r="A141" s="11" t="s">
        <v>139</v>
      </c>
      <c r="B141" s="2" t="s">
        <v>592</v>
      </c>
      <c r="C141" s="12">
        <v>46179</v>
      </c>
      <c r="D141" s="12">
        <f>WORKDAY(AR_age_category!$C141,$J$1)</f>
        <v>46220</v>
      </c>
      <c r="E141" s="13">
        <v>7828.34</v>
      </c>
      <c r="F141" s="21">
        <f ca="1">IF(AR_table[[#This Row],[due_date]]&gt;=TODAY(),0,NETWORKDAYS(AR_table[[#This Row],[due_date]],TODAY()))</f>
        <v>0</v>
      </c>
      <c r="G141" s="2" t="str">
        <f ca="1">VLOOKUP(AR_age_category!$F141,Table4[#All],2)</f>
        <v>Not due</v>
      </c>
    </row>
    <row r="142" spans="1:7" x14ac:dyDescent="0.3">
      <c r="A142" s="14" t="s">
        <v>140</v>
      </c>
      <c r="B142" s="4" t="s">
        <v>595</v>
      </c>
      <c r="C142" s="15">
        <v>45658</v>
      </c>
      <c r="D142" s="15">
        <f>WORKDAY(AR_age_category!$C142,$J$1)</f>
        <v>45700</v>
      </c>
      <c r="E142" s="16">
        <v>3603.21</v>
      </c>
      <c r="F142" s="21">
        <f ca="1">IF(AR_table[[#This Row],[due_date]]&gt;=TODAY(),0,NETWORKDAYS(AR_table[[#This Row],[due_date]],TODAY()))</f>
        <v>255</v>
      </c>
      <c r="G142" s="4" t="str">
        <f ca="1">VLOOKUP(AR_age_category!$F142,Table4[#All],2)</f>
        <v>&gt;90</v>
      </c>
    </row>
    <row r="143" spans="1:7" x14ac:dyDescent="0.3">
      <c r="A143" s="11" t="s">
        <v>141</v>
      </c>
      <c r="B143" s="2" t="s">
        <v>594</v>
      </c>
      <c r="C143" s="12">
        <v>45679</v>
      </c>
      <c r="D143" s="12">
        <f>WORKDAY(AR_age_category!$C143,$J$1)</f>
        <v>45721</v>
      </c>
      <c r="E143" s="13">
        <v>4742.33</v>
      </c>
      <c r="F143" s="21">
        <f ca="1">IF(AR_table[[#This Row],[due_date]]&gt;=TODAY(),0,NETWORKDAYS(AR_table[[#This Row],[due_date]],TODAY()))</f>
        <v>240</v>
      </c>
      <c r="G143" s="2" t="str">
        <f ca="1">VLOOKUP(AR_age_category!$F143,Table4[#All],2)</f>
        <v>&gt;90</v>
      </c>
    </row>
    <row r="144" spans="1:7" x14ac:dyDescent="0.3">
      <c r="A144" s="14" t="s">
        <v>142</v>
      </c>
      <c r="B144" s="4" t="s">
        <v>592</v>
      </c>
      <c r="C144" s="15">
        <v>46060</v>
      </c>
      <c r="D144" s="15">
        <f>WORKDAY(AR_age_category!$C144,$J$1)</f>
        <v>46101</v>
      </c>
      <c r="E144" s="16">
        <v>5745.4</v>
      </c>
      <c r="F144" s="21">
        <f ca="1">IF(AR_table[[#This Row],[due_date]]&gt;=TODAY(),0,NETWORKDAYS(AR_table[[#This Row],[due_date]],TODAY()))</f>
        <v>0</v>
      </c>
      <c r="G144" s="4" t="str">
        <f ca="1">VLOOKUP(AR_age_category!$F144,Table4[#All],2)</f>
        <v>Not due</v>
      </c>
    </row>
    <row r="145" spans="1:7" x14ac:dyDescent="0.3">
      <c r="A145" s="11" t="s">
        <v>143</v>
      </c>
      <c r="B145" s="2" t="s">
        <v>594</v>
      </c>
      <c r="C145" s="12">
        <v>45856</v>
      </c>
      <c r="D145" s="12">
        <f>WORKDAY(AR_age_category!$C145,$J$1)</f>
        <v>45898</v>
      </c>
      <c r="E145" s="13">
        <v>6440.55</v>
      </c>
      <c r="F145" s="21">
        <f ca="1">IF(AR_table[[#This Row],[due_date]]&gt;=TODAY(),0,NETWORKDAYS(AR_table[[#This Row],[due_date]],TODAY()))</f>
        <v>113</v>
      </c>
      <c r="G145" s="2" t="str">
        <f ca="1">VLOOKUP(AR_age_category!$F145,Table4[#All],2)</f>
        <v>&gt;90</v>
      </c>
    </row>
    <row r="146" spans="1:7" x14ac:dyDescent="0.3">
      <c r="A146" s="11" t="s">
        <v>144</v>
      </c>
      <c r="B146" s="2" t="s">
        <v>595</v>
      </c>
      <c r="C146" s="12">
        <v>46150</v>
      </c>
      <c r="D146" s="12">
        <f>WORKDAY(AR_age_category!$C146,$J$1)</f>
        <v>46192</v>
      </c>
      <c r="E146" s="13">
        <v>3067.69</v>
      </c>
      <c r="F146" s="21">
        <f ca="1">IF(AR_table[[#This Row],[due_date]]&gt;=TODAY(),0,NETWORKDAYS(AR_table[[#This Row],[due_date]],TODAY()))</f>
        <v>0</v>
      </c>
      <c r="G146" s="2" t="str">
        <f ca="1">VLOOKUP(AR_age_category!$F146,Table4[#All],2)</f>
        <v>Not due</v>
      </c>
    </row>
    <row r="147" spans="1:7" x14ac:dyDescent="0.3">
      <c r="A147" s="14" t="s">
        <v>145</v>
      </c>
      <c r="B147" s="4" t="s">
        <v>593</v>
      </c>
      <c r="C147" s="15">
        <v>45822</v>
      </c>
      <c r="D147" s="15">
        <f>WORKDAY(AR_age_category!$C147,$J$1)</f>
        <v>45863</v>
      </c>
      <c r="E147" s="16">
        <v>3030.85</v>
      </c>
      <c r="F147" s="21">
        <f ca="1">IF(AR_table[[#This Row],[due_date]]&gt;=TODAY(),0,NETWORKDAYS(AR_table[[#This Row],[due_date]],TODAY()))</f>
        <v>138</v>
      </c>
      <c r="G147" s="4" t="str">
        <f ca="1">VLOOKUP(AR_age_category!$F147,Table4[#All],2)</f>
        <v>&gt;90</v>
      </c>
    </row>
    <row r="148" spans="1:7" x14ac:dyDescent="0.3">
      <c r="A148" s="11" t="s">
        <v>146</v>
      </c>
      <c r="B148" s="2" t="s">
        <v>594</v>
      </c>
      <c r="C148" s="12">
        <v>45769</v>
      </c>
      <c r="D148" s="12">
        <f>WORKDAY(AR_age_category!$C148,$J$1)</f>
        <v>45811</v>
      </c>
      <c r="E148" s="13">
        <v>6545.56</v>
      </c>
      <c r="F148" s="21">
        <f ca="1">IF(AR_table[[#This Row],[due_date]]&gt;=TODAY(),0,NETWORKDAYS(AR_table[[#This Row],[due_date]],TODAY()))</f>
        <v>176</v>
      </c>
      <c r="G148" s="2" t="str">
        <f ca="1">VLOOKUP(AR_age_category!$F148,Table4[#All],2)</f>
        <v>&gt;90</v>
      </c>
    </row>
    <row r="149" spans="1:7" x14ac:dyDescent="0.3">
      <c r="A149" s="14" t="s">
        <v>147</v>
      </c>
      <c r="B149" s="4" t="s">
        <v>593</v>
      </c>
      <c r="C149" s="15">
        <v>45977</v>
      </c>
      <c r="D149" s="15">
        <f>WORKDAY(AR_age_category!$C149,$J$1)</f>
        <v>46017</v>
      </c>
      <c r="E149" s="16">
        <v>4888.93</v>
      </c>
      <c r="F149" s="21">
        <f ca="1">IF(AR_table[[#This Row],[due_date]]&gt;=TODAY(),0,NETWORKDAYS(AR_table[[#This Row],[due_date]],TODAY()))</f>
        <v>28</v>
      </c>
      <c r="G149" s="4" t="str">
        <f ca="1">VLOOKUP(AR_age_category!$F149,Table4[#All],2)</f>
        <v>1-30</v>
      </c>
    </row>
    <row r="150" spans="1:7" x14ac:dyDescent="0.3">
      <c r="A150" s="11" t="s">
        <v>148</v>
      </c>
      <c r="B150" s="2" t="s">
        <v>594</v>
      </c>
      <c r="C150" s="12">
        <v>45743</v>
      </c>
      <c r="D150" s="12">
        <f>WORKDAY(AR_age_category!$C150,$J$1)</f>
        <v>45785</v>
      </c>
      <c r="E150" s="13">
        <v>3415.75</v>
      </c>
      <c r="F150" s="21">
        <f ca="1">IF(AR_table[[#This Row],[due_date]]&gt;=TODAY(),0,NETWORKDAYS(AR_table[[#This Row],[due_date]],TODAY()))</f>
        <v>194</v>
      </c>
      <c r="G150" s="2" t="str">
        <f ca="1">VLOOKUP(AR_age_category!$F150,Table4[#All],2)</f>
        <v>&gt;90</v>
      </c>
    </row>
    <row r="151" spans="1:7" x14ac:dyDescent="0.3">
      <c r="A151" s="14" t="s">
        <v>149</v>
      </c>
      <c r="B151" s="4" t="s">
        <v>591</v>
      </c>
      <c r="C151" s="15">
        <v>45674</v>
      </c>
      <c r="D151" s="15">
        <f>WORKDAY(AR_age_category!$C151,$J$1)</f>
        <v>45716</v>
      </c>
      <c r="E151" s="16">
        <v>7943.83</v>
      </c>
      <c r="F151" s="21">
        <f ca="1">IF(AR_table[[#This Row],[due_date]]&gt;=TODAY(),0,NETWORKDAYS(AR_table[[#This Row],[due_date]],TODAY()))</f>
        <v>243</v>
      </c>
      <c r="G151" s="4" t="str">
        <f ca="1">VLOOKUP(AR_age_category!$F151,Table4[#All],2)</f>
        <v>&gt;90</v>
      </c>
    </row>
    <row r="152" spans="1:7" x14ac:dyDescent="0.3">
      <c r="A152" s="11" t="s">
        <v>150</v>
      </c>
      <c r="B152" s="2" t="s">
        <v>594</v>
      </c>
      <c r="C152" s="12">
        <v>45924</v>
      </c>
      <c r="D152" s="12">
        <f>WORKDAY(AR_age_category!$C152,$J$1)</f>
        <v>45966</v>
      </c>
      <c r="E152" s="13">
        <v>247.4</v>
      </c>
      <c r="F152" s="21">
        <f ca="1">IF(AR_table[[#This Row],[due_date]]&gt;=TODAY(),0,NETWORKDAYS(AR_table[[#This Row],[due_date]],TODAY()))</f>
        <v>65</v>
      </c>
      <c r="G152" s="2" t="str">
        <f ca="1">VLOOKUP(AR_age_category!$F152,Table4[#All],2)</f>
        <v>61-90</v>
      </c>
    </row>
    <row r="153" spans="1:7" x14ac:dyDescent="0.3">
      <c r="A153" s="14" t="s">
        <v>151</v>
      </c>
      <c r="B153" s="4" t="s">
        <v>594</v>
      </c>
      <c r="C153" s="15">
        <v>45927</v>
      </c>
      <c r="D153" s="15">
        <f>WORKDAY(AR_age_category!$C153,$J$1)</f>
        <v>45968</v>
      </c>
      <c r="E153" s="16">
        <v>1967.78</v>
      </c>
      <c r="F153" s="21">
        <f ca="1">IF(AR_table[[#This Row],[due_date]]&gt;=TODAY(),0,NETWORKDAYS(AR_table[[#This Row],[due_date]],TODAY()))</f>
        <v>63</v>
      </c>
      <c r="G153" s="4" t="str">
        <f ca="1">VLOOKUP(AR_age_category!$F153,Table4[#All],2)</f>
        <v>61-90</v>
      </c>
    </row>
    <row r="154" spans="1:7" x14ac:dyDescent="0.3">
      <c r="A154" s="11" t="s">
        <v>152</v>
      </c>
      <c r="B154" s="2" t="s">
        <v>591</v>
      </c>
      <c r="C154" s="12">
        <v>45909</v>
      </c>
      <c r="D154" s="12">
        <f>WORKDAY(AR_age_category!$C154,$J$1)</f>
        <v>45951</v>
      </c>
      <c r="E154" s="13">
        <v>7603.86</v>
      </c>
      <c r="F154" s="21">
        <f ca="1">IF(AR_table[[#This Row],[due_date]]&gt;=TODAY(),0,NETWORKDAYS(AR_table[[#This Row],[due_date]],TODAY()))</f>
        <v>76</v>
      </c>
      <c r="G154" s="2" t="str">
        <f ca="1">VLOOKUP(AR_age_category!$F154,Table4[#All],2)</f>
        <v>61-90</v>
      </c>
    </row>
    <row r="155" spans="1:7" x14ac:dyDescent="0.3">
      <c r="A155" s="14" t="s">
        <v>153</v>
      </c>
      <c r="B155" s="4" t="s">
        <v>595</v>
      </c>
      <c r="C155" s="15">
        <v>45880</v>
      </c>
      <c r="D155" s="15">
        <f>WORKDAY(AR_age_category!$C155,$J$1)</f>
        <v>45922</v>
      </c>
      <c r="E155" s="16">
        <v>7290.34</v>
      </c>
      <c r="F155" s="21">
        <f ca="1">IF(AR_table[[#This Row],[due_date]]&gt;=TODAY(),0,NETWORKDAYS(AR_table[[#This Row],[due_date]],TODAY()))</f>
        <v>97</v>
      </c>
      <c r="G155" s="4" t="str">
        <f ca="1">VLOOKUP(AR_age_category!$F155,Table4[#All],2)</f>
        <v>&gt;90</v>
      </c>
    </row>
    <row r="156" spans="1:7" x14ac:dyDescent="0.3">
      <c r="A156" s="11" t="s">
        <v>154</v>
      </c>
      <c r="B156" s="2" t="s">
        <v>594</v>
      </c>
      <c r="C156" s="12">
        <v>45842</v>
      </c>
      <c r="D156" s="12">
        <f>WORKDAY(AR_age_category!$C156,$J$1)</f>
        <v>45884</v>
      </c>
      <c r="E156" s="13">
        <v>2291.87</v>
      </c>
      <c r="F156" s="21">
        <f ca="1">IF(AR_table[[#This Row],[due_date]]&gt;=TODAY(),0,NETWORKDAYS(AR_table[[#This Row],[due_date]],TODAY()))</f>
        <v>123</v>
      </c>
      <c r="G156" s="2" t="str">
        <f ca="1">VLOOKUP(AR_age_category!$F156,Table4[#All],2)</f>
        <v>&gt;90</v>
      </c>
    </row>
    <row r="157" spans="1:7" x14ac:dyDescent="0.3">
      <c r="A157" s="14" t="s">
        <v>155</v>
      </c>
      <c r="B157" s="4" t="s">
        <v>595</v>
      </c>
      <c r="C157" s="15">
        <v>45743</v>
      </c>
      <c r="D157" s="15">
        <f>WORKDAY(AR_age_category!$C157,$J$1)</f>
        <v>45785</v>
      </c>
      <c r="E157" s="16">
        <v>2360.7199999999998</v>
      </c>
      <c r="F157" s="21">
        <f ca="1">IF(AR_table[[#This Row],[due_date]]&gt;=TODAY(),0,NETWORKDAYS(AR_table[[#This Row],[due_date]],TODAY()))</f>
        <v>194</v>
      </c>
      <c r="G157" s="4" t="str">
        <f ca="1">VLOOKUP(AR_age_category!$F157,Table4[#All],2)</f>
        <v>&gt;90</v>
      </c>
    </row>
    <row r="158" spans="1:7" x14ac:dyDescent="0.3">
      <c r="A158" s="11" t="s">
        <v>156</v>
      </c>
      <c r="B158" s="2" t="s">
        <v>594</v>
      </c>
      <c r="C158" s="12">
        <v>45803</v>
      </c>
      <c r="D158" s="12">
        <f>WORKDAY(AR_age_category!$C158,$J$1)</f>
        <v>45845</v>
      </c>
      <c r="E158" s="13">
        <v>673.24</v>
      </c>
      <c r="F158" s="21">
        <f ca="1">IF(AR_table[[#This Row],[due_date]]&gt;=TODAY(),0,NETWORKDAYS(AR_table[[#This Row],[due_date]],TODAY()))</f>
        <v>152</v>
      </c>
      <c r="G158" s="2" t="str">
        <f ca="1">VLOOKUP(AR_age_category!$F158,Table4[#All],2)</f>
        <v>&gt;90</v>
      </c>
    </row>
    <row r="159" spans="1:7" x14ac:dyDescent="0.3">
      <c r="A159" s="14" t="s">
        <v>157</v>
      </c>
      <c r="B159" s="4" t="s">
        <v>592</v>
      </c>
      <c r="C159" s="15">
        <v>45713</v>
      </c>
      <c r="D159" s="15">
        <f>WORKDAY(AR_age_category!$C159,$J$1)</f>
        <v>45755</v>
      </c>
      <c r="E159" s="16">
        <v>3221.68</v>
      </c>
      <c r="F159" s="21">
        <f ca="1">IF(AR_table[[#This Row],[due_date]]&gt;=TODAY(),0,NETWORKDAYS(AR_table[[#This Row],[due_date]],TODAY()))</f>
        <v>216</v>
      </c>
      <c r="G159" s="4" t="str">
        <f ca="1">VLOOKUP(AR_age_category!$F159,Table4[#All],2)</f>
        <v>&gt;90</v>
      </c>
    </row>
    <row r="160" spans="1:7" x14ac:dyDescent="0.3">
      <c r="A160" s="14" t="s">
        <v>158</v>
      </c>
      <c r="B160" s="4" t="s">
        <v>594</v>
      </c>
      <c r="C160" s="15">
        <v>46162</v>
      </c>
      <c r="D160" s="15">
        <f>WORKDAY(AR_age_category!$C160,$J$1)</f>
        <v>46204</v>
      </c>
      <c r="E160" s="16">
        <v>3317.09</v>
      </c>
      <c r="F160" s="21">
        <f ca="1">IF(AR_table[[#This Row],[due_date]]&gt;=TODAY(),0,NETWORKDAYS(AR_table[[#This Row],[due_date]],TODAY()))</f>
        <v>0</v>
      </c>
      <c r="G160" s="4" t="str">
        <f ca="1">VLOOKUP(AR_age_category!$F160,Table4[#All],2)</f>
        <v>Not due</v>
      </c>
    </row>
    <row r="161" spans="1:7" x14ac:dyDescent="0.3">
      <c r="A161" s="11" t="s">
        <v>159</v>
      </c>
      <c r="B161" s="2" t="s">
        <v>592</v>
      </c>
      <c r="C161" s="12">
        <v>45744</v>
      </c>
      <c r="D161" s="12">
        <f>WORKDAY(AR_age_category!$C161,$J$1)</f>
        <v>45786</v>
      </c>
      <c r="E161" s="13">
        <v>3325.12</v>
      </c>
      <c r="F161" s="21">
        <f ca="1">IF(AR_table[[#This Row],[due_date]]&gt;=TODAY(),0,NETWORKDAYS(AR_table[[#This Row],[due_date]],TODAY()))</f>
        <v>193</v>
      </c>
      <c r="G161" s="2" t="str">
        <f ca="1">VLOOKUP(AR_age_category!$F161,Table4[#All],2)</f>
        <v>&gt;90</v>
      </c>
    </row>
    <row r="162" spans="1:7" x14ac:dyDescent="0.3">
      <c r="A162" s="14" t="s">
        <v>160</v>
      </c>
      <c r="B162" s="4" t="s">
        <v>594</v>
      </c>
      <c r="C162" s="15">
        <v>46072</v>
      </c>
      <c r="D162" s="15">
        <f>WORKDAY(AR_age_category!$C162,$J$1)</f>
        <v>46114</v>
      </c>
      <c r="E162" s="16">
        <v>4585.18</v>
      </c>
      <c r="F162" s="21">
        <f ca="1">IF(AR_table[[#This Row],[due_date]]&gt;=TODAY(),0,NETWORKDAYS(AR_table[[#This Row],[due_date]],TODAY()))</f>
        <v>0</v>
      </c>
      <c r="G162" s="4" t="str">
        <f ca="1">VLOOKUP(AR_age_category!$F162,Table4[#All],2)</f>
        <v>Not due</v>
      </c>
    </row>
    <row r="163" spans="1:7" x14ac:dyDescent="0.3">
      <c r="A163" s="14" t="s">
        <v>162</v>
      </c>
      <c r="B163" s="4" t="s">
        <v>593</v>
      </c>
      <c r="C163" s="15">
        <v>45820</v>
      </c>
      <c r="D163" s="15">
        <f>WORKDAY(AR_age_category!$C163,$J$1)</f>
        <v>45862</v>
      </c>
      <c r="E163" s="16">
        <v>1165.07</v>
      </c>
      <c r="F163" s="21">
        <f ca="1">IF(AR_table[[#This Row],[due_date]]&gt;=TODAY(),0,NETWORKDAYS(AR_table[[#This Row],[due_date]],TODAY()))</f>
        <v>139</v>
      </c>
      <c r="G163" s="4" t="str">
        <f ca="1">VLOOKUP(AR_age_category!$F163,Table4[#All],2)</f>
        <v>&gt;90</v>
      </c>
    </row>
    <row r="164" spans="1:7" x14ac:dyDescent="0.3">
      <c r="A164" s="14" t="s">
        <v>157</v>
      </c>
      <c r="B164" s="4" t="s">
        <v>593</v>
      </c>
      <c r="C164" s="15">
        <v>45769</v>
      </c>
      <c r="D164" s="15">
        <f>WORKDAY(AR_age_category!$C164,$J$1)</f>
        <v>45811</v>
      </c>
      <c r="E164" s="16">
        <v>1188.28</v>
      </c>
      <c r="F164" s="21">
        <f ca="1">IF(AR_table[[#This Row],[due_date]]&gt;=TODAY(),0,NETWORKDAYS(AR_table[[#This Row],[due_date]],TODAY()))</f>
        <v>176</v>
      </c>
      <c r="G164" s="4" t="str">
        <f ca="1">VLOOKUP(AR_age_category!$F164,Table4[#All],2)</f>
        <v>&gt;90</v>
      </c>
    </row>
    <row r="165" spans="1:7" x14ac:dyDescent="0.3">
      <c r="A165" s="14" t="s">
        <v>158</v>
      </c>
      <c r="B165" s="4" t="s">
        <v>595</v>
      </c>
      <c r="C165" s="15">
        <v>46066</v>
      </c>
      <c r="D165" s="15">
        <f>WORKDAY(AR_age_category!$C165,$J$1)</f>
        <v>46108</v>
      </c>
      <c r="E165" s="16">
        <v>534.33000000000004</v>
      </c>
      <c r="F165" s="21">
        <f ca="1">IF(AR_table[[#This Row],[due_date]]&gt;=TODAY(),0,NETWORKDAYS(AR_table[[#This Row],[due_date]],TODAY()))</f>
        <v>0</v>
      </c>
      <c r="G165" s="4" t="str">
        <f ca="1">VLOOKUP(AR_age_category!$F165,Table4[#All],2)</f>
        <v>Not due</v>
      </c>
    </row>
    <row r="166" spans="1:7" x14ac:dyDescent="0.3">
      <c r="A166" s="11" t="s">
        <v>159</v>
      </c>
      <c r="B166" s="2" t="s">
        <v>591</v>
      </c>
      <c r="C166" s="12">
        <v>45842</v>
      </c>
      <c r="D166" s="12">
        <f>WORKDAY(AR_age_category!$C166,$J$1)</f>
        <v>45884</v>
      </c>
      <c r="E166" s="13">
        <v>575.11</v>
      </c>
      <c r="F166" s="21">
        <f ca="1">IF(AR_table[[#This Row],[due_date]]&gt;=TODAY(),0,NETWORKDAYS(AR_table[[#This Row],[due_date]],TODAY()))</f>
        <v>123</v>
      </c>
      <c r="G166" s="2" t="str">
        <f ca="1">VLOOKUP(AR_age_category!$F166,Table4[#All],2)</f>
        <v>&gt;90</v>
      </c>
    </row>
    <row r="167" spans="1:7" x14ac:dyDescent="0.3">
      <c r="A167" s="14" t="s">
        <v>160</v>
      </c>
      <c r="B167" s="4" t="s">
        <v>595</v>
      </c>
      <c r="C167" s="15">
        <v>45778</v>
      </c>
      <c r="D167" s="15">
        <f>WORKDAY(AR_age_category!$C167,$J$1)</f>
        <v>45820</v>
      </c>
      <c r="E167" s="16">
        <v>7672.85</v>
      </c>
      <c r="F167" s="21">
        <f ca="1">IF(AR_table[[#This Row],[due_date]]&gt;=TODAY(),0,NETWORKDAYS(AR_table[[#This Row],[due_date]],TODAY()))</f>
        <v>169</v>
      </c>
      <c r="G167" s="4" t="str">
        <f ca="1">VLOOKUP(AR_age_category!$F167,Table4[#All],2)</f>
        <v>&gt;90</v>
      </c>
    </row>
    <row r="168" spans="1:7" x14ac:dyDescent="0.3">
      <c r="A168" s="11" t="s">
        <v>161</v>
      </c>
      <c r="B168" s="2" t="s">
        <v>593</v>
      </c>
      <c r="C168" s="12">
        <v>45712</v>
      </c>
      <c r="D168" s="12">
        <f>WORKDAY(AR_age_category!$C168,$J$1)</f>
        <v>45754</v>
      </c>
      <c r="E168" s="13">
        <v>4254.22</v>
      </c>
      <c r="F168" s="21">
        <f ca="1">IF(AR_table[[#This Row],[due_date]]&gt;=TODAY(),0,NETWORKDAYS(AR_table[[#This Row],[due_date]],TODAY()))</f>
        <v>217</v>
      </c>
      <c r="G168" s="2" t="str">
        <f ca="1">VLOOKUP(AR_age_category!$F168,Table4[#All],2)</f>
        <v>&gt;90</v>
      </c>
    </row>
    <row r="169" spans="1:7" x14ac:dyDescent="0.3">
      <c r="A169" s="11" t="s">
        <v>163</v>
      </c>
      <c r="B169" s="2" t="s">
        <v>594</v>
      </c>
      <c r="C169" s="12">
        <v>45707</v>
      </c>
      <c r="D169" s="12">
        <f>WORKDAY(AR_age_category!$C169,$J$1)</f>
        <v>45749</v>
      </c>
      <c r="E169" s="13">
        <v>2757.32</v>
      </c>
      <c r="F169" s="21">
        <f ca="1">IF(AR_table[[#This Row],[due_date]]&gt;=TODAY(),0,NETWORKDAYS(AR_table[[#This Row],[due_date]],TODAY()))</f>
        <v>220</v>
      </c>
      <c r="G169" s="2" t="str">
        <f ca="1">VLOOKUP(AR_age_category!$F169,Table4[#All],2)</f>
        <v>&gt;90</v>
      </c>
    </row>
    <row r="170" spans="1:7" x14ac:dyDescent="0.3">
      <c r="A170" s="14" t="s">
        <v>164</v>
      </c>
      <c r="B170" s="4" t="s">
        <v>592</v>
      </c>
      <c r="C170" s="15">
        <v>45784</v>
      </c>
      <c r="D170" s="15">
        <f>WORKDAY(AR_age_category!$C170,$J$1)</f>
        <v>45826</v>
      </c>
      <c r="E170" s="16">
        <v>5389.32</v>
      </c>
      <c r="F170" s="21">
        <f ca="1">IF(AR_table[[#This Row],[due_date]]&gt;=TODAY(),0,NETWORKDAYS(AR_table[[#This Row],[due_date]],TODAY()))</f>
        <v>165</v>
      </c>
      <c r="G170" s="4" t="str">
        <f ca="1">VLOOKUP(AR_age_category!$F170,Table4[#All],2)</f>
        <v>&gt;90</v>
      </c>
    </row>
    <row r="171" spans="1:7" x14ac:dyDescent="0.3">
      <c r="A171" s="11" t="s">
        <v>165</v>
      </c>
      <c r="B171" s="2" t="s">
        <v>594</v>
      </c>
      <c r="C171" s="12">
        <v>45676</v>
      </c>
      <c r="D171" s="12">
        <f>WORKDAY(AR_age_category!$C171,$J$1)</f>
        <v>45716</v>
      </c>
      <c r="E171" s="13">
        <v>7153.34</v>
      </c>
      <c r="F171" s="21">
        <f ca="1">IF(AR_table[[#This Row],[due_date]]&gt;=TODAY(),0,NETWORKDAYS(AR_table[[#This Row],[due_date]],TODAY()))</f>
        <v>243</v>
      </c>
      <c r="G171" s="2" t="str">
        <f ca="1">VLOOKUP(AR_age_category!$F171,Table4[#All],2)</f>
        <v>&gt;90</v>
      </c>
    </row>
    <row r="172" spans="1:7" x14ac:dyDescent="0.3">
      <c r="A172" s="11" t="s">
        <v>167</v>
      </c>
      <c r="B172" s="2" t="s">
        <v>593</v>
      </c>
      <c r="C172" s="12">
        <v>45690</v>
      </c>
      <c r="D172" s="12">
        <f>WORKDAY(AR_age_category!$C172,$J$1)</f>
        <v>45730</v>
      </c>
      <c r="E172" s="13">
        <v>4484.3999999999996</v>
      </c>
      <c r="F172" s="21">
        <f ca="1">IF(AR_table[[#This Row],[due_date]]&gt;=TODAY(),0,NETWORKDAYS(AR_table[[#This Row],[due_date]],TODAY()))</f>
        <v>233</v>
      </c>
      <c r="G172" s="2" t="str">
        <f ca="1">VLOOKUP(AR_age_category!$F172,Table4[#All],2)</f>
        <v>&gt;90</v>
      </c>
    </row>
    <row r="173" spans="1:7" x14ac:dyDescent="0.3">
      <c r="A173" s="14" t="s">
        <v>168</v>
      </c>
      <c r="B173" s="4" t="s">
        <v>592</v>
      </c>
      <c r="C173" s="15">
        <v>46086</v>
      </c>
      <c r="D173" s="15">
        <f>WORKDAY(AR_age_category!$C173,$J$1)</f>
        <v>46128</v>
      </c>
      <c r="E173" s="16">
        <v>2276.46</v>
      </c>
      <c r="F173" s="21">
        <f ca="1">IF(AR_table[[#This Row],[due_date]]&gt;=TODAY(),0,NETWORKDAYS(AR_table[[#This Row],[due_date]],TODAY()))</f>
        <v>0</v>
      </c>
      <c r="G173" s="4" t="str">
        <f ca="1">VLOOKUP(AR_age_category!$F173,Table4[#All],2)</f>
        <v>Not due</v>
      </c>
    </row>
    <row r="174" spans="1:7" x14ac:dyDescent="0.3">
      <c r="A174" s="11" t="s">
        <v>169</v>
      </c>
      <c r="B174" s="2" t="s">
        <v>592</v>
      </c>
      <c r="C174" s="12">
        <v>45923</v>
      </c>
      <c r="D174" s="12">
        <f>WORKDAY(AR_age_category!$C174,$J$1)</f>
        <v>45965</v>
      </c>
      <c r="E174" s="13">
        <v>3306.6</v>
      </c>
      <c r="F174" s="21">
        <f ca="1">IF(AR_table[[#This Row],[due_date]]&gt;=TODAY(),0,NETWORKDAYS(AR_table[[#This Row],[due_date]],TODAY()))</f>
        <v>66</v>
      </c>
      <c r="G174" s="2" t="str">
        <f ca="1">VLOOKUP(AR_age_category!$F174,Table4[#All],2)</f>
        <v>61-90</v>
      </c>
    </row>
    <row r="175" spans="1:7" x14ac:dyDescent="0.3">
      <c r="A175" s="14" t="s">
        <v>170</v>
      </c>
      <c r="B175" s="4" t="s">
        <v>594</v>
      </c>
      <c r="C175" s="15">
        <v>45982</v>
      </c>
      <c r="D175" s="15">
        <f>WORKDAY(AR_age_category!$C175,$J$1)</f>
        <v>46024</v>
      </c>
      <c r="E175" s="16">
        <v>4927.67</v>
      </c>
      <c r="F175" s="21">
        <f ca="1">IF(AR_table[[#This Row],[due_date]]&gt;=TODAY(),0,NETWORKDAYS(AR_table[[#This Row],[due_date]],TODAY()))</f>
        <v>23</v>
      </c>
      <c r="G175" s="4" t="str">
        <f ca="1">VLOOKUP(AR_age_category!$F175,Table4[#All],2)</f>
        <v>1-30</v>
      </c>
    </row>
    <row r="176" spans="1:7" x14ac:dyDescent="0.3">
      <c r="A176" s="11" t="s">
        <v>171</v>
      </c>
      <c r="B176" s="2" t="s">
        <v>594</v>
      </c>
      <c r="C176" s="12">
        <v>45810</v>
      </c>
      <c r="D176" s="12">
        <f>WORKDAY(AR_age_category!$C176,$J$1)</f>
        <v>45852</v>
      </c>
      <c r="E176" s="13">
        <v>3912.57</v>
      </c>
      <c r="F176" s="21">
        <f ca="1">IF(AR_table[[#This Row],[due_date]]&gt;=TODAY(),0,NETWORKDAYS(AR_table[[#This Row],[due_date]],TODAY()))</f>
        <v>147</v>
      </c>
      <c r="G176" s="2" t="str">
        <f ca="1">VLOOKUP(AR_age_category!$F176,Table4[#All],2)</f>
        <v>&gt;90</v>
      </c>
    </row>
    <row r="177" spans="1:7" x14ac:dyDescent="0.3">
      <c r="A177" s="11" t="s">
        <v>173</v>
      </c>
      <c r="B177" s="2" t="s">
        <v>591</v>
      </c>
      <c r="C177" s="12">
        <v>45803</v>
      </c>
      <c r="D177" s="12">
        <f>WORKDAY(AR_age_category!$C177,$J$1)</f>
        <v>45845</v>
      </c>
      <c r="E177" s="13">
        <v>4441.37</v>
      </c>
      <c r="F177" s="21">
        <f ca="1">IF(AR_table[[#This Row],[due_date]]&gt;=TODAY(),0,NETWORKDAYS(AR_table[[#This Row],[due_date]],TODAY()))</f>
        <v>152</v>
      </c>
      <c r="G177" s="2" t="str">
        <f ca="1">VLOOKUP(AR_age_category!$F177,Table4[#All],2)</f>
        <v>&gt;90</v>
      </c>
    </row>
    <row r="178" spans="1:7" x14ac:dyDescent="0.3">
      <c r="A178" s="14" t="s">
        <v>166</v>
      </c>
      <c r="B178" s="4" t="s">
        <v>591</v>
      </c>
      <c r="C178" s="15">
        <v>46176</v>
      </c>
      <c r="D178" s="15">
        <f>WORKDAY(AR_age_category!$C178,$J$1)</f>
        <v>46218</v>
      </c>
      <c r="E178" s="16">
        <v>7296</v>
      </c>
      <c r="F178" s="21">
        <f ca="1">IF(AR_table[[#This Row],[due_date]]&gt;=TODAY(),0,NETWORKDAYS(AR_table[[#This Row],[due_date]],TODAY()))</f>
        <v>0</v>
      </c>
      <c r="G178" s="4" t="str">
        <f ca="1">VLOOKUP(AR_age_category!$F178,Table4[#All],2)</f>
        <v>Not due</v>
      </c>
    </row>
    <row r="179" spans="1:7" x14ac:dyDescent="0.3">
      <c r="A179" s="11" t="s">
        <v>167</v>
      </c>
      <c r="B179" s="2" t="s">
        <v>592</v>
      </c>
      <c r="C179" s="12">
        <v>45940</v>
      </c>
      <c r="D179" s="12">
        <f>WORKDAY(AR_age_category!$C179,$J$1)</f>
        <v>45982</v>
      </c>
      <c r="E179" s="13">
        <v>2844.85</v>
      </c>
      <c r="F179" s="21">
        <f ca="1">IF(AR_table[[#This Row],[due_date]]&gt;=TODAY(),0,NETWORKDAYS(AR_table[[#This Row],[due_date]],TODAY()))</f>
        <v>53</v>
      </c>
      <c r="G179" s="2" t="str">
        <f ca="1">VLOOKUP(AR_age_category!$F179,Table4[#All],2)</f>
        <v>31-60</v>
      </c>
    </row>
    <row r="180" spans="1:7" x14ac:dyDescent="0.3">
      <c r="A180" s="14" t="s">
        <v>168</v>
      </c>
      <c r="B180" s="4" t="s">
        <v>591</v>
      </c>
      <c r="C180" s="15">
        <v>45706</v>
      </c>
      <c r="D180" s="15">
        <f>WORKDAY(AR_age_category!$C180,$J$1)</f>
        <v>45748</v>
      </c>
      <c r="E180" s="16">
        <v>3336.12</v>
      </c>
      <c r="F180" s="21">
        <f ca="1">IF(AR_table[[#This Row],[due_date]]&gt;=TODAY(),0,NETWORKDAYS(AR_table[[#This Row],[due_date]],TODAY()))</f>
        <v>221</v>
      </c>
      <c r="G180" s="4" t="str">
        <f ca="1">VLOOKUP(AR_age_category!$F180,Table4[#All],2)</f>
        <v>&gt;90</v>
      </c>
    </row>
    <row r="181" spans="1:7" x14ac:dyDescent="0.3">
      <c r="A181" s="11" t="s">
        <v>169</v>
      </c>
      <c r="B181" s="2" t="s">
        <v>591</v>
      </c>
      <c r="C181" s="12">
        <v>45912</v>
      </c>
      <c r="D181" s="12">
        <f>WORKDAY(AR_age_category!$C181,$J$1)</f>
        <v>45954</v>
      </c>
      <c r="E181" s="13">
        <v>5108.9399999999996</v>
      </c>
      <c r="F181" s="21">
        <f ca="1">IF(AR_table[[#This Row],[due_date]]&gt;=TODAY(),0,NETWORKDAYS(AR_table[[#This Row],[due_date]],TODAY()))</f>
        <v>73</v>
      </c>
      <c r="G181" s="2" t="str">
        <f ca="1">VLOOKUP(AR_age_category!$F181,Table4[#All],2)</f>
        <v>61-90</v>
      </c>
    </row>
    <row r="182" spans="1:7" x14ac:dyDescent="0.3">
      <c r="A182" s="14" t="s">
        <v>170</v>
      </c>
      <c r="B182" s="4" t="s">
        <v>591</v>
      </c>
      <c r="C182" s="15">
        <v>45696</v>
      </c>
      <c r="D182" s="15">
        <f>WORKDAY(AR_age_category!$C182,$J$1)</f>
        <v>45737</v>
      </c>
      <c r="E182" s="16">
        <v>3254.83</v>
      </c>
      <c r="F182" s="21">
        <f ca="1">IF(AR_table[[#This Row],[due_date]]&gt;=TODAY(),0,NETWORKDAYS(AR_table[[#This Row],[due_date]],TODAY()))</f>
        <v>228</v>
      </c>
      <c r="G182" s="4" t="str">
        <f ca="1">VLOOKUP(AR_age_category!$F182,Table4[#All],2)</f>
        <v>&gt;90</v>
      </c>
    </row>
    <row r="183" spans="1:7" x14ac:dyDescent="0.3">
      <c r="A183" s="14" t="s">
        <v>172</v>
      </c>
      <c r="B183" s="4" t="s">
        <v>591</v>
      </c>
      <c r="C183" s="15">
        <v>46045</v>
      </c>
      <c r="D183" s="15">
        <f>WORKDAY(AR_age_category!$C183,$J$1)</f>
        <v>46087</v>
      </c>
      <c r="E183" s="16">
        <v>1049.32</v>
      </c>
      <c r="F183" s="21">
        <f ca="1">IF(AR_table[[#This Row],[due_date]]&gt;=TODAY(),0,NETWORKDAYS(AR_table[[#This Row],[due_date]],TODAY()))</f>
        <v>0</v>
      </c>
      <c r="G183" s="4" t="str">
        <f ca="1">VLOOKUP(AR_age_category!$F183,Table4[#All],2)</f>
        <v>Not due</v>
      </c>
    </row>
    <row r="184" spans="1:7" x14ac:dyDescent="0.3">
      <c r="A184" s="14" t="s">
        <v>174</v>
      </c>
      <c r="B184" s="4" t="s">
        <v>595</v>
      </c>
      <c r="C184" s="15">
        <v>46014</v>
      </c>
      <c r="D184" s="15">
        <f>WORKDAY(AR_age_category!$C184,$J$1)</f>
        <v>46056</v>
      </c>
      <c r="E184" s="16">
        <v>7185.54</v>
      </c>
      <c r="F184" s="21">
        <f ca="1">IF(AR_table[[#This Row],[due_date]]&gt;=TODAY(),0,NETWORKDAYS(AR_table[[#This Row],[due_date]],TODAY()))</f>
        <v>0</v>
      </c>
      <c r="G184" s="4" t="str">
        <f ca="1">VLOOKUP(AR_age_category!$F184,Table4[#All],2)</f>
        <v>Not due</v>
      </c>
    </row>
    <row r="185" spans="1:7" x14ac:dyDescent="0.3">
      <c r="A185" s="11" t="s">
        <v>175</v>
      </c>
      <c r="B185" s="2" t="s">
        <v>595</v>
      </c>
      <c r="C185" s="12">
        <v>45704</v>
      </c>
      <c r="D185" s="12">
        <f>WORKDAY(AR_age_category!$C185,$J$1)</f>
        <v>45744</v>
      </c>
      <c r="E185" s="13">
        <v>1472.13</v>
      </c>
      <c r="F185" s="21">
        <f ca="1">IF(AR_table[[#This Row],[due_date]]&gt;=TODAY(),0,NETWORKDAYS(AR_table[[#This Row],[due_date]],TODAY()))</f>
        <v>223</v>
      </c>
      <c r="G185" s="2" t="str">
        <f ca="1">VLOOKUP(AR_age_category!$F185,Table4[#All],2)</f>
        <v>&gt;90</v>
      </c>
    </row>
    <row r="186" spans="1:7" x14ac:dyDescent="0.3">
      <c r="A186" s="14" t="s">
        <v>176</v>
      </c>
      <c r="B186" s="4" t="s">
        <v>594</v>
      </c>
      <c r="C186" s="15">
        <v>45775</v>
      </c>
      <c r="D186" s="15">
        <f>WORKDAY(AR_age_category!$C186,$J$1)</f>
        <v>45817</v>
      </c>
      <c r="E186" s="16">
        <v>5363.52</v>
      </c>
      <c r="F186" s="21">
        <f ca="1">IF(AR_table[[#This Row],[due_date]]&gt;=TODAY(),0,NETWORKDAYS(AR_table[[#This Row],[due_date]],TODAY()))</f>
        <v>172</v>
      </c>
      <c r="G186" s="4" t="str">
        <f ca="1">VLOOKUP(AR_age_category!$F186,Table4[#All],2)</f>
        <v>&gt;90</v>
      </c>
    </row>
    <row r="187" spans="1:7" x14ac:dyDescent="0.3">
      <c r="A187" s="11" t="s">
        <v>177</v>
      </c>
      <c r="B187" s="2" t="s">
        <v>592</v>
      </c>
      <c r="C187" s="12">
        <v>45996</v>
      </c>
      <c r="D187" s="12">
        <f>WORKDAY(AR_age_category!$C187,$J$1)</f>
        <v>46038</v>
      </c>
      <c r="E187" s="13">
        <v>3298.99</v>
      </c>
      <c r="F187" s="21">
        <f ca="1">IF(AR_table[[#This Row],[due_date]]&gt;=TODAY(),0,NETWORKDAYS(AR_table[[#This Row],[due_date]],TODAY()))</f>
        <v>13</v>
      </c>
      <c r="G187" s="2" t="str">
        <f ca="1">VLOOKUP(AR_age_category!$F187,Table4[#All],2)</f>
        <v>1-30</v>
      </c>
    </row>
    <row r="188" spans="1:7" x14ac:dyDescent="0.3">
      <c r="A188" s="14" t="s">
        <v>178</v>
      </c>
      <c r="B188" s="4" t="s">
        <v>591</v>
      </c>
      <c r="C188" s="15">
        <v>46196</v>
      </c>
      <c r="D188" s="15">
        <f>WORKDAY(AR_age_category!$C188,$J$1)</f>
        <v>46238</v>
      </c>
      <c r="E188" s="16">
        <v>7176.07</v>
      </c>
      <c r="F188" s="21">
        <f ca="1">IF(AR_table[[#This Row],[due_date]]&gt;=TODAY(),0,NETWORKDAYS(AR_table[[#This Row],[due_date]],TODAY()))</f>
        <v>0</v>
      </c>
      <c r="G188" s="4" t="str">
        <f ca="1">VLOOKUP(AR_age_category!$F188,Table4[#All],2)</f>
        <v>Not due</v>
      </c>
    </row>
    <row r="189" spans="1:7" x14ac:dyDescent="0.3">
      <c r="A189" s="11" t="s">
        <v>179</v>
      </c>
      <c r="B189" s="2" t="s">
        <v>592</v>
      </c>
      <c r="C189" s="12">
        <v>46002</v>
      </c>
      <c r="D189" s="12">
        <f>WORKDAY(AR_age_category!$C189,$J$1)</f>
        <v>46044</v>
      </c>
      <c r="E189" s="13">
        <v>618.77</v>
      </c>
      <c r="F189" s="21">
        <f ca="1">IF(AR_table[[#This Row],[due_date]]&gt;=TODAY(),0,NETWORKDAYS(AR_table[[#This Row],[due_date]],TODAY()))</f>
        <v>9</v>
      </c>
      <c r="G189" s="2" t="str">
        <f ca="1">VLOOKUP(AR_age_category!$F189,Table4[#All],2)</f>
        <v>1-30</v>
      </c>
    </row>
    <row r="190" spans="1:7" x14ac:dyDescent="0.3">
      <c r="A190" s="14" t="s">
        <v>180</v>
      </c>
      <c r="B190" s="4" t="s">
        <v>595</v>
      </c>
      <c r="C190" s="15">
        <v>45953</v>
      </c>
      <c r="D190" s="15">
        <f>WORKDAY(AR_age_category!$C190,$J$1)</f>
        <v>45995</v>
      </c>
      <c r="E190" s="16">
        <v>3945.49</v>
      </c>
      <c r="F190" s="21">
        <f ca="1">IF(AR_table[[#This Row],[due_date]]&gt;=TODAY(),0,NETWORKDAYS(AR_table[[#This Row],[due_date]],TODAY()))</f>
        <v>44</v>
      </c>
      <c r="G190" s="4" t="str">
        <f ca="1">VLOOKUP(AR_age_category!$F190,Table4[#All],2)</f>
        <v>31-60</v>
      </c>
    </row>
    <row r="191" spans="1:7" x14ac:dyDescent="0.3">
      <c r="A191" s="11" t="s">
        <v>181</v>
      </c>
      <c r="B191" s="2" t="s">
        <v>592</v>
      </c>
      <c r="C191" s="12">
        <v>45678</v>
      </c>
      <c r="D191" s="12">
        <f>WORKDAY(AR_age_category!$C191,$J$1)</f>
        <v>45720</v>
      </c>
      <c r="E191" s="13">
        <v>1912.05</v>
      </c>
      <c r="F191" s="21">
        <f ca="1">IF(AR_table[[#This Row],[due_date]]&gt;=TODAY(),0,NETWORKDAYS(AR_table[[#This Row],[due_date]],TODAY()))</f>
        <v>241</v>
      </c>
      <c r="G191" s="2" t="str">
        <f ca="1">VLOOKUP(AR_age_category!$F191,Table4[#All],2)</f>
        <v>&gt;90</v>
      </c>
    </row>
    <row r="192" spans="1:7" x14ac:dyDescent="0.3">
      <c r="A192" s="14" t="s">
        <v>182</v>
      </c>
      <c r="B192" s="4" t="s">
        <v>591</v>
      </c>
      <c r="C192" s="15">
        <v>45980</v>
      </c>
      <c r="D192" s="15">
        <f>WORKDAY(AR_age_category!$C192,$J$1)</f>
        <v>46022</v>
      </c>
      <c r="E192" s="16">
        <v>5329.48</v>
      </c>
      <c r="F192" s="21">
        <f ca="1">IF(AR_table[[#This Row],[due_date]]&gt;=TODAY(),0,NETWORKDAYS(AR_table[[#This Row],[due_date]],TODAY()))</f>
        <v>25</v>
      </c>
      <c r="G192" s="4" t="str">
        <f ca="1">VLOOKUP(AR_age_category!$F192,Table4[#All],2)</f>
        <v>1-30</v>
      </c>
    </row>
    <row r="193" spans="1:7" x14ac:dyDescent="0.3">
      <c r="A193" s="11" t="s">
        <v>183</v>
      </c>
      <c r="B193" s="2" t="s">
        <v>591</v>
      </c>
      <c r="C193" s="12">
        <v>45828</v>
      </c>
      <c r="D193" s="12">
        <f>WORKDAY(AR_age_category!$C193,$J$1)</f>
        <v>45870</v>
      </c>
      <c r="E193" s="13">
        <v>5287.6</v>
      </c>
      <c r="F193" s="21">
        <f ca="1">IF(AR_table[[#This Row],[due_date]]&gt;=TODAY(),0,NETWORKDAYS(AR_table[[#This Row],[due_date]],TODAY()))</f>
        <v>133</v>
      </c>
      <c r="G193" s="2" t="str">
        <f ca="1">VLOOKUP(AR_age_category!$F193,Table4[#All],2)</f>
        <v>&gt;90</v>
      </c>
    </row>
    <row r="194" spans="1:7" x14ac:dyDescent="0.3">
      <c r="A194" s="14" t="s">
        <v>184</v>
      </c>
      <c r="B194" s="4" t="s">
        <v>593</v>
      </c>
      <c r="C194" s="15">
        <v>45901</v>
      </c>
      <c r="D194" s="15">
        <f>WORKDAY(AR_age_category!$C194,$J$1)</f>
        <v>45943</v>
      </c>
      <c r="E194" s="16">
        <v>4912.0600000000004</v>
      </c>
      <c r="F194" s="21">
        <f ca="1">IF(AR_table[[#This Row],[due_date]]&gt;=TODAY(),0,NETWORKDAYS(AR_table[[#This Row],[due_date]],TODAY()))</f>
        <v>82</v>
      </c>
      <c r="G194" s="4" t="str">
        <f ca="1">VLOOKUP(AR_age_category!$F194,Table4[#All],2)</f>
        <v>61-90</v>
      </c>
    </row>
    <row r="195" spans="1:7" x14ac:dyDescent="0.3">
      <c r="A195" s="11" t="s">
        <v>185</v>
      </c>
      <c r="B195" s="2" t="s">
        <v>592</v>
      </c>
      <c r="C195" s="12">
        <v>46061</v>
      </c>
      <c r="D195" s="12">
        <f>WORKDAY(AR_age_category!$C195,$J$1)</f>
        <v>46101</v>
      </c>
      <c r="E195" s="13">
        <v>6804.92</v>
      </c>
      <c r="F195" s="21">
        <f ca="1">IF(AR_table[[#This Row],[due_date]]&gt;=TODAY(),0,NETWORKDAYS(AR_table[[#This Row],[due_date]],TODAY()))</f>
        <v>0</v>
      </c>
      <c r="G195" s="2" t="str">
        <f ca="1">VLOOKUP(AR_age_category!$F195,Table4[#All],2)</f>
        <v>Not due</v>
      </c>
    </row>
    <row r="196" spans="1:7" x14ac:dyDescent="0.3">
      <c r="A196" s="14" t="s">
        <v>186</v>
      </c>
      <c r="B196" s="4" t="s">
        <v>594</v>
      </c>
      <c r="C196" s="15">
        <v>45750</v>
      </c>
      <c r="D196" s="15">
        <f>WORKDAY(AR_age_category!$C196,$J$1)</f>
        <v>45792</v>
      </c>
      <c r="E196" s="16">
        <v>2819.2</v>
      </c>
      <c r="F196" s="21">
        <f ca="1">IF(AR_table[[#This Row],[due_date]]&gt;=TODAY(),0,NETWORKDAYS(AR_table[[#This Row],[due_date]],TODAY()))</f>
        <v>189</v>
      </c>
      <c r="G196" s="4" t="str">
        <f ca="1">VLOOKUP(AR_age_category!$F196,Table4[#All],2)</f>
        <v>&gt;90</v>
      </c>
    </row>
    <row r="197" spans="1:7" x14ac:dyDescent="0.3">
      <c r="A197" s="11" t="s">
        <v>187</v>
      </c>
      <c r="B197" s="2" t="s">
        <v>591</v>
      </c>
      <c r="C197" s="12">
        <v>45664</v>
      </c>
      <c r="D197" s="12">
        <f>WORKDAY(AR_age_category!$C197,$J$1)</f>
        <v>45706</v>
      </c>
      <c r="E197" s="13">
        <v>4818.12</v>
      </c>
      <c r="F197" s="21">
        <f ca="1">IF(AR_table[[#This Row],[due_date]]&gt;=TODAY(),0,NETWORKDAYS(AR_table[[#This Row],[due_date]],TODAY()))</f>
        <v>251</v>
      </c>
      <c r="G197" s="2" t="str">
        <f ca="1">VLOOKUP(AR_age_category!$F197,Table4[#All],2)</f>
        <v>&gt;90</v>
      </c>
    </row>
    <row r="198" spans="1:7" x14ac:dyDescent="0.3">
      <c r="A198" s="11" t="s">
        <v>188</v>
      </c>
      <c r="B198" s="2" t="s">
        <v>591</v>
      </c>
      <c r="C198" s="12">
        <v>45950</v>
      </c>
      <c r="D198" s="12">
        <f>WORKDAY(AR_age_category!$C198,$J$1)</f>
        <v>45992</v>
      </c>
      <c r="E198" s="13">
        <v>6215.27</v>
      </c>
      <c r="F198" s="21">
        <f ca="1">IF(AR_table[[#This Row],[due_date]]&gt;=TODAY(),0,NETWORKDAYS(AR_table[[#This Row],[due_date]],TODAY()))</f>
        <v>47</v>
      </c>
      <c r="G198" s="2" t="str">
        <f ca="1">VLOOKUP(AR_age_category!$F198,Table4[#All],2)</f>
        <v>31-60</v>
      </c>
    </row>
    <row r="199" spans="1:7" x14ac:dyDescent="0.3">
      <c r="A199" s="14" t="s">
        <v>189</v>
      </c>
      <c r="B199" s="4" t="s">
        <v>592</v>
      </c>
      <c r="C199" s="15">
        <v>46052</v>
      </c>
      <c r="D199" s="15">
        <f>WORKDAY(AR_age_category!$C199,$J$1)</f>
        <v>46094</v>
      </c>
      <c r="E199" s="16">
        <v>772.4</v>
      </c>
      <c r="F199" s="21">
        <f ca="1">IF(AR_table[[#This Row],[due_date]]&gt;=TODAY(),0,NETWORKDAYS(AR_table[[#This Row],[due_date]],TODAY()))</f>
        <v>0</v>
      </c>
      <c r="G199" s="4" t="str">
        <f ca="1">VLOOKUP(AR_age_category!$F199,Table4[#All],2)</f>
        <v>Not due</v>
      </c>
    </row>
    <row r="200" spans="1:7" x14ac:dyDescent="0.3">
      <c r="A200" s="14" t="s">
        <v>190</v>
      </c>
      <c r="B200" s="4" t="s">
        <v>592</v>
      </c>
      <c r="C200" s="15">
        <v>46163</v>
      </c>
      <c r="D200" s="15">
        <f>WORKDAY(AR_age_category!$C200,$J$1)</f>
        <v>46205</v>
      </c>
      <c r="E200" s="16">
        <v>844.47</v>
      </c>
      <c r="F200" s="21">
        <f ca="1">IF(AR_table[[#This Row],[due_date]]&gt;=TODAY(),0,NETWORKDAYS(AR_table[[#This Row],[due_date]],TODAY()))</f>
        <v>0</v>
      </c>
      <c r="G200" s="4" t="str">
        <f ca="1">VLOOKUP(AR_age_category!$F200,Table4[#All],2)</f>
        <v>Not due</v>
      </c>
    </row>
    <row r="201" spans="1:7" x14ac:dyDescent="0.3">
      <c r="A201" s="11" t="s">
        <v>191</v>
      </c>
      <c r="B201" s="2" t="s">
        <v>593</v>
      </c>
      <c r="C201" s="12">
        <v>45989</v>
      </c>
      <c r="D201" s="12">
        <f>WORKDAY(AR_age_category!$C201,$J$1)</f>
        <v>46031</v>
      </c>
      <c r="E201" s="13">
        <v>1392.54</v>
      </c>
      <c r="F201" s="21">
        <f ca="1">IF(AR_table[[#This Row],[due_date]]&gt;=TODAY(),0,NETWORKDAYS(AR_table[[#This Row],[due_date]],TODAY()))</f>
        <v>18</v>
      </c>
      <c r="G201" s="2" t="str">
        <f ca="1">VLOOKUP(AR_age_category!$F201,Table4[#All],2)</f>
        <v>1-30</v>
      </c>
    </row>
    <row r="202" spans="1:7" x14ac:dyDescent="0.3">
      <c r="A202" s="11" t="s">
        <v>192</v>
      </c>
      <c r="B202" s="2" t="s">
        <v>593</v>
      </c>
      <c r="C202" s="12">
        <v>45701</v>
      </c>
      <c r="D202" s="12">
        <f>WORKDAY(AR_age_category!$C202,$J$1)</f>
        <v>45743</v>
      </c>
      <c r="E202" s="13">
        <v>2944.07</v>
      </c>
      <c r="F202" s="21">
        <f ca="1">IF(AR_table[[#This Row],[due_date]]&gt;=TODAY(),0,NETWORKDAYS(AR_table[[#This Row],[due_date]],TODAY()))</f>
        <v>224</v>
      </c>
      <c r="G202" s="2" t="str">
        <f ca="1">VLOOKUP(AR_age_category!$F202,Table4[#All],2)</f>
        <v>&gt;90</v>
      </c>
    </row>
    <row r="203" spans="1:7" x14ac:dyDescent="0.3">
      <c r="A203" s="14" t="s">
        <v>193</v>
      </c>
      <c r="B203" s="4" t="s">
        <v>591</v>
      </c>
      <c r="C203" s="15">
        <v>45902</v>
      </c>
      <c r="D203" s="15">
        <f>WORKDAY(AR_age_category!$C203,$J$1)</f>
        <v>45944</v>
      </c>
      <c r="E203" s="16">
        <v>6013.51</v>
      </c>
      <c r="F203" s="21">
        <f ca="1">IF(AR_table[[#This Row],[due_date]]&gt;=TODAY(),0,NETWORKDAYS(AR_table[[#This Row],[due_date]],TODAY()))</f>
        <v>81</v>
      </c>
      <c r="G203" s="4" t="str">
        <f ca="1">VLOOKUP(AR_age_category!$F203,Table4[#All],2)</f>
        <v>61-90</v>
      </c>
    </row>
    <row r="204" spans="1:7" x14ac:dyDescent="0.3">
      <c r="A204" s="11" t="s">
        <v>194</v>
      </c>
      <c r="B204" s="2" t="s">
        <v>595</v>
      </c>
      <c r="C204" s="12">
        <v>45693</v>
      </c>
      <c r="D204" s="12">
        <f>WORKDAY(AR_age_category!$C204,$J$1)</f>
        <v>45735</v>
      </c>
      <c r="E204" s="13">
        <v>1766.81</v>
      </c>
      <c r="F204" s="21">
        <f ca="1">IF(AR_table[[#This Row],[due_date]]&gt;=TODAY(),0,NETWORKDAYS(AR_table[[#This Row],[due_date]],TODAY()))</f>
        <v>230</v>
      </c>
      <c r="G204" s="2" t="str">
        <f ca="1">VLOOKUP(AR_age_category!$F204,Table4[#All],2)</f>
        <v>&gt;90</v>
      </c>
    </row>
    <row r="205" spans="1:7" x14ac:dyDescent="0.3">
      <c r="A205" s="14" t="s">
        <v>195</v>
      </c>
      <c r="B205" s="4" t="s">
        <v>592</v>
      </c>
      <c r="C205" s="15">
        <v>46009</v>
      </c>
      <c r="D205" s="15">
        <f>WORKDAY(AR_age_category!$C205,$J$1)</f>
        <v>46051</v>
      </c>
      <c r="E205" s="16">
        <v>5288.72</v>
      </c>
      <c r="F205" s="21">
        <f ca="1">IF(AR_table[[#This Row],[due_date]]&gt;=TODAY(),0,NETWORKDAYS(AR_table[[#This Row],[due_date]],TODAY()))</f>
        <v>4</v>
      </c>
      <c r="G205" s="4" t="str">
        <f ca="1">VLOOKUP(AR_age_category!$F205,Table4[#All],2)</f>
        <v>1-30</v>
      </c>
    </row>
    <row r="206" spans="1:7" x14ac:dyDescent="0.3">
      <c r="A206" s="11" t="s">
        <v>196</v>
      </c>
      <c r="B206" s="2" t="s">
        <v>591</v>
      </c>
      <c r="C206" s="12">
        <v>45907</v>
      </c>
      <c r="D206" s="12">
        <f>WORKDAY(AR_age_category!$C206,$J$1)</f>
        <v>45947</v>
      </c>
      <c r="E206" s="13">
        <v>487.55</v>
      </c>
      <c r="F206" s="21">
        <f ca="1">IF(AR_table[[#This Row],[due_date]]&gt;=TODAY(),0,NETWORKDAYS(AR_table[[#This Row],[due_date]],TODAY()))</f>
        <v>78</v>
      </c>
      <c r="G206" s="2" t="str">
        <f ca="1">VLOOKUP(AR_age_category!$F206,Table4[#All],2)</f>
        <v>61-90</v>
      </c>
    </row>
    <row r="207" spans="1:7" x14ac:dyDescent="0.3">
      <c r="A207" s="14" t="s">
        <v>197</v>
      </c>
      <c r="B207" s="4" t="s">
        <v>591</v>
      </c>
      <c r="C207" s="15">
        <v>45975</v>
      </c>
      <c r="D207" s="15">
        <f>WORKDAY(AR_age_category!$C207,$J$1)</f>
        <v>46017</v>
      </c>
      <c r="E207" s="16">
        <v>1910.38</v>
      </c>
      <c r="F207" s="21">
        <f ca="1">IF(AR_table[[#This Row],[due_date]]&gt;=TODAY(),0,NETWORKDAYS(AR_table[[#This Row],[due_date]],TODAY()))</f>
        <v>28</v>
      </c>
      <c r="G207" s="4" t="str">
        <f ca="1">VLOOKUP(AR_age_category!$F207,Table4[#All],2)</f>
        <v>1-30</v>
      </c>
    </row>
    <row r="208" spans="1:7" x14ac:dyDescent="0.3">
      <c r="A208" s="14" t="s">
        <v>198</v>
      </c>
      <c r="B208" s="4" t="s">
        <v>595</v>
      </c>
      <c r="C208" s="15">
        <v>45881</v>
      </c>
      <c r="D208" s="15">
        <f>WORKDAY(AR_age_category!$C208,$J$1)</f>
        <v>45923</v>
      </c>
      <c r="E208" s="16">
        <v>6586.64</v>
      </c>
      <c r="F208" s="21">
        <f ca="1">IF(AR_table[[#This Row],[due_date]]&gt;=TODAY(),0,NETWORKDAYS(AR_table[[#This Row],[due_date]],TODAY()))</f>
        <v>96</v>
      </c>
      <c r="G208" s="4" t="str">
        <f ca="1">VLOOKUP(AR_age_category!$F208,Table4[#All],2)</f>
        <v>&gt;90</v>
      </c>
    </row>
    <row r="209" spans="1:7" x14ac:dyDescent="0.3">
      <c r="A209" s="14" t="s">
        <v>199</v>
      </c>
      <c r="B209" s="4" t="s">
        <v>594</v>
      </c>
      <c r="C209" s="15">
        <v>45704</v>
      </c>
      <c r="D209" s="15">
        <f>WORKDAY(AR_age_category!$C209,$J$1)</f>
        <v>45744</v>
      </c>
      <c r="E209" s="16">
        <v>1308.93</v>
      </c>
      <c r="F209" s="21">
        <f ca="1">IF(AR_table[[#This Row],[due_date]]&gt;=TODAY(),0,NETWORKDAYS(AR_table[[#This Row],[due_date]],TODAY()))</f>
        <v>223</v>
      </c>
      <c r="G209" s="4" t="str">
        <f ca="1">VLOOKUP(AR_age_category!$F209,Table4[#All],2)</f>
        <v>&gt;90</v>
      </c>
    </row>
    <row r="210" spans="1:7" x14ac:dyDescent="0.3">
      <c r="A210" s="11" t="s">
        <v>200</v>
      </c>
      <c r="B210" s="2" t="s">
        <v>593</v>
      </c>
      <c r="C210" s="12">
        <v>46146</v>
      </c>
      <c r="D210" s="12">
        <f>WORKDAY(AR_age_category!$C210,$J$1)</f>
        <v>46188</v>
      </c>
      <c r="E210" s="13">
        <v>3082.75</v>
      </c>
      <c r="F210" s="21">
        <f ca="1">IF(AR_table[[#This Row],[due_date]]&gt;=TODAY(),0,NETWORKDAYS(AR_table[[#This Row],[due_date]],TODAY()))</f>
        <v>0</v>
      </c>
      <c r="G210" s="2" t="str">
        <f ca="1">VLOOKUP(AR_age_category!$F210,Table4[#All],2)</f>
        <v>Not due</v>
      </c>
    </row>
    <row r="211" spans="1:7" x14ac:dyDescent="0.3">
      <c r="A211" s="11" t="s">
        <v>201</v>
      </c>
      <c r="B211" s="2" t="s">
        <v>591</v>
      </c>
      <c r="C211" s="12">
        <v>46186</v>
      </c>
      <c r="D211" s="12">
        <f>WORKDAY(AR_age_category!$C211,$J$1)</f>
        <v>46227</v>
      </c>
      <c r="E211" s="13">
        <v>612.58000000000004</v>
      </c>
      <c r="F211" s="21">
        <f ca="1">IF(AR_table[[#This Row],[due_date]]&gt;=TODAY(),0,NETWORKDAYS(AR_table[[#This Row],[due_date]],TODAY()))</f>
        <v>0</v>
      </c>
      <c r="G211" s="2" t="str">
        <f ca="1">VLOOKUP(AR_age_category!$F211,Table4[#All],2)</f>
        <v>Not due</v>
      </c>
    </row>
    <row r="212" spans="1:7" x14ac:dyDescent="0.3">
      <c r="A212" s="14" t="s">
        <v>202</v>
      </c>
      <c r="B212" s="4" t="s">
        <v>594</v>
      </c>
      <c r="C212" s="15">
        <v>46011</v>
      </c>
      <c r="D212" s="15">
        <f>WORKDAY(AR_age_category!$C212,$J$1)</f>
        <v>46052</v>
      </c>
      <c r="E212" s="16">
        <v>6586.08</v>
      </c>
      <c r="F212" s="21">
        <f ca="1">IF(AR_table[[#This Row],[due_date]]&gt;=TODAY(),0,NETWORKDAYS(AR_table[[#This Row],[due_date]],TODAY()))</f>
        <v>3</v>
      </c>
      <c r="G212" s="4" t="str">
        <f ca="1">VLOOKUP(AR_age_category!$F212,Table4[#All],2)</f>
        <v>1-30</v>
      </c>
    </row>
    <row r="213" spans="1:7" x14ac:dyDescent="0.3">
      <c r="A213" s="11" t="s">
        <v>203</v>
      </c>
      <c r="B213" s="2" t="s">
        <v>592</v>
      </c>
      <c r="C213" s="12">
        <v>45943</v>
      </c>
      <c r="D213" s="12">
        <f>WORKDAY(AR_age_category!$C213,$J$1)</f>
        <v>45985</v>
      </c>
      <c r="E213" s="13">
        <v>7135.58</v>
      </c>
      <c r="F213" s="21">
        <f ca="1">IF(AR_table[[#This Row],[due_date]]&gt;=TODAY(),0,NETWORKDAYS(AR_table[[#This Row],[due_date]],TODAY()))</f>
        <v>52</v>
      </c>
      <c r="G213" s="2" t="str">
        <f ca="1">VLOOKUP(AR_age_category!$F213,Table4[#All],2)</f>
        <v>31-60</v>
      </c>
    </row>
    <row r="214" spans="1:7" x14ac:dyDescent="0.3">
      <c r="A214" s="14" t="s">
        <v>204</v>
      </c>
      <c r="B214" s="4" t="s">
        <v>594</v>
      </c>
      <c r="C214" s="15">
        <v>45976</v>
      </c>
      <c r="D214" s="15">
        <f>WORKDAY(AR_age_category!$C214,$J$1)</f>
        <v>46017</v>
      </c>
      <c r="E214" s="16">
        <v>3310.59</v>
      </c>
      <c r="F214" s="21">
        <f ca="1">IF(AR_table[[#This Row],[due_date]]&gt;=TODAY(),0,NETWORKDAYS(AR_table[[#This Row],[due_date]],TODAY()))</f>
        <v>28</v>
      </c>
      <c r="G214" s="4" t="str">
        <f ca="1">VLOOKUP(AR_age_category!$F214,Table4[#All],2)</f>
        <v>1-30</v>
      </c>
    </row>
    <row r="215" spans="1:7" x14ac:dyDescent="0.3">
      <c r="A215" s="11" t="s">
        <v>205</v>
      </c>
      <c r="B215" s="2" t="s">
        <v>595</v>
      </c>
      <c r="C215" s="12">
        <v>46178</v>
      </c>
      <c r="D215" s="12">
        <f>WORKDAY(AR_age_category!$C215,$J$1)</f>
        <v>46220</v>
      </c>
      <c r="E215" s="13">
        <v>6859.56</v>
      </c>
      <c r="F215" s="21">
        <f ca="1">IF(AR_table[[#This Row],[due_date]]&gt;=TODAY(),0,NETWORKDAYS(AR_table[[#This Row],[due_date]],TODAY()))</f>
        <v>0</v>
      </c>
      <c r="G215" s="2" t="str">
        <f ca="1">VLOOKUP(AR_age_category!$F215,Table4[#All],2)</f>
        <v>Not due</v>
      </c>
    </row>
    <row r="216" spans="1:7" x14ac:dyDescent="0.3">
      <c r="A216" s="14" t="s">
        <v>206</v>
      </c>
      <c r="B216" s="4" t="s">
        <v>594</v>
      </c>
      <c r="C216" s="15">
        <v>46086</v>
      </c>
      <c r="D216" s="15">
        <f>WORKDAY(AR_age_category!$C216,$J$1)</f>
        <v>46128</v>
      </c>
      <c r="E216" s="16">
        <v>3464.1</v>
      </c>
      <c r="F216" s="21">
        <f ca="1">IF(AR_table[[#This Row],[due_date]]&gt;=TODAY(),0,NETWORKDAYS(AR_table[[#This Row],[due_date]],TODAY()))</f>
        <v>0</v>
      </c>
      <c r="G216" s="4" t="str">
        <f ca="1">VLOOKUP(AR_age_category!$F216,Table4[#All],2)</f>
        <v>Not due</v>
      </c>
    </row>
    <row r="217" spans="1:7" x14ac:dyDescent="0.3">
      <c r="A217" s="14" t="s">
        <v>207</v>
      </c>
      <c r="B217" s="4" t="s">
        <v>592</v>
      </c>
      <c r="C217" s="15">
        <v>45961</v>
      </c>
      <c r="D217" s="15">
        <f>WORKDAY(AR_age_category!$C217,$J$1)</f>
        <v>46003</v>
      </c>
      <c r="E217" s="16">
        <v>375.36</v>
      </c>
      <c r="F217" s="21">
        <f ca="1">IF(AR_table[[#This Row],[due_date]]&gt;=TODAY(),0,NETWORKDAYS(AR_table[[#This Row],[due_date]],TODAY()))</f>
        <v>38</v>
      </c>
      <c r="G217" s="4" t="str">
        <f ca="1">VLOOKUP(AR_age_category!$F217,Table4[#All],2)</f>
        <v>31-60</v>
      </c>
    </row>
    <row r="218" spans="1:7" x14ac:dyDescent="0.3">
      <c r="A218" s="11" t="s">
        <v>208</v>
      </c>
      <c r="B218" s="2" t="s">
        <v>591</v>
      </c>
      <c r="C218" s="12">
        <v>45982</v>
      </c>
      <c r="D218" s="12">
        <f>WORKDAY(AR_age_category!$C218,$J$1)</f>
        <v>46024</v>
      </c>
      <c r="E218" s="13">
        <v>4606.43</v>
      </c>
      <c r="F218" s="21">
        <f ca="1">IF(AR_table[[#This Row],[due_date]]&gt;=TODAY(),0,NETWORKDAYS(AR_table[[#This Row],[due_date]],TODAY()))</f>
        <v>23</v>
      </c>
      <c r="G218" s="2" t="str">
        <f ca="1">VLOOKUP(AR_age_category!$F218,Table4[#All],2)</f>
        <v>1-30</v>
      </c>
    </row>
    <row r="219" spans="1:7" x14ac:dyDescent="0.3">
      <c r="A219" s="14" t="s">
        <v>209</v>
      </c>
      <c r="B219" s="4" t="s">
        <v>591</v>
      </c>
      <c r="C219" s="15">
        <v>45709</v>
      </c>
      <c r="D219" s="15">
        <f>WORKDAY(AR_age_category!$C219,$J$1)</f>
        <v>45751</v>
      </c>
      <c r="E219" s="16">
        <v>3956.63</v>
      </c>
      <c r="F219" s="21">
        <f ca="1">IF(AR_table[[#This Row],[due_date]]&gt;=TODAY(),0,NETWORKDAYS(AR_table[[#This Row],[due_date]],TODAY()))</f>
        <v>218</v>
      </c>
      <c r="G219" s="4" t="str">
        <f ca="1">VLOOKUP(AR_age_category!$F219,Table4[#All],2)</f>
        <v>&gt;90</v>
      </c>
    </row>
    <row r="220" spans="1:7" x14ac:dyDescent="0.3">
      <c r="A220" s="14" t="s">
        <v>210</v>
      </c>
      <c r="B220" s="4" t="s">
        <v>593</v>
      </c>
      <c r="C220" s="15">
        <v>45963</v>
      </c>
      <c r="D220" s="15">
        <f>WORKDAY(AR_age_category!$C220,$J$1)</f>
        <v>46003</v>
      </c>
      <c r="E220" s="16">
        <v>3131.18</v>
      </c>
      <c r="F220" s="21">
        <f ca="1">IF(AR_table[[#This Row],[due_date]]&gt;=TODAY(),0,NETWORKDAYS(AR_table[[#This Row],[due_date]],TODAY()))</f>
        <v>38</v>
      </c>
      <c r="G220" s="4" t="str">
        <f ca="1">VLOOKUP(AR_age_category!$F220,Table4[#All],2)</f>
        <v>31-60</v>
      </c>
    </row>
    <row r="221" spans="1:7" x14ac:dyDescent="0.3">
      <c r="A221" s="11" t="s">
        <v>211</v>
      </c>
      <c r="B221" s="2" t="s">
        <v>593</v>
      </c>
      <c r="C221" s="12">
        <v>45710</v>
      </c>
      <c r="D221" s="12">
        <f>WORKDAY(AR_age_category!$C221,$J$1)</f>
        <v>45751</v>
      </c>
      <c r="E221" s="13">
        <v>7443.46</v>
      </c>
      <c r="F221" s="21">
        <f ca="1">IF(AR_table[[#This Row],[due_date]]&gt;=TODAY(),0,NETWORKDAYS(AR_table[[#This Row],[due_date]],TODAY()))</f>
        <v>218</v>
      </c>
      <c r="G221" s="2" t="str">
        <f ca="1">VLOOKUP(AR_age_category!$F221,Table4[#All],2)</f>
        <v>&gt;90</v>
      </c>
    </row>
    <row r="222" spans="1:7" x14ac:dyDescent="0.3">
      <c r="A222" s="14" t="s">
        <v>212</v>
      </c>
      <c r="B222" s="4" t="s">
        <v>594</v>
      </c>
      <c r="C222" s="15">
        <v>45688</v>
      </c>
      <c r="D222" s="15">
        <f>WORKDAY(AR_age_category!$C222,$J$1)</f>
        <v>45730</v>
      </c>
      <c r="E222" s="16">
        <v>3523.63</v>
      </c>
      <c r="F222" s="21">
        <f ca="1">IF(AR_table[[#This Row],[due_date]]&gt;=TODAY(),0,NETWORKDAYS(AR_table[[#This Row],[due_date]],TODAY()))</f>
        <v>233</v>
      </c>
      <c r="G222" s="4" t="str">
        <f ca="1">VLOOKUP(AR_age_category!$F222,Table4[#All],2)</f>
        <v>&gt;90</v>
      </c>
    </row>
    <row r="223" spans="1:7" x14ac:dyDescent="0.3">
      <c r="A223" s="11" t="s">
        <v>213</v>
      </c>
      <c r="B223" s="2" t="s">
        <v>592</v>
      </c>
      <c r="C223" s="12">
        <v>45681</v>
      </c>
      <c r="D223" s="12">
        <f>WORKDAY(AR_age_category!$C223,$J$1)</f>
        <v>45723</v>
      </c>
      <c r="E223" s="13">
        <v>255.41</v>
      </c>
      <c r="F223" s="21">
        <f ca="1">IF(AR_table[[#This Row],[due_date]]&gt;=TODAY(),0,NETWORKDAYS(AR_table[[#This Row],[due_date]],TODAY()))</f>
        <v>238</v>
      </c>
      <c r="G223" s="2" t="str">
        <f ca="1">VLOOKUP(AR_age_category!$F223,Table4[#All],2)</f>
        <v>&gt;90</v>
      </c>
    </row>
    <row r="224" spans="1:7" x14ac:dyDescent="0.3">
      <c r="A224" s="14" t="s">
        <v>214</v>
      </c>
      <c r="B224" s="4" t="s">
        <v>593</v>
      </c>
      <c r="C224" s="15">
        <v>46022</v>
      </c>
      <c r="D224" s="15">
        <f>WORKDAY(AR_age_category!$C224,$J$1)</f>
        <v>46064</v>
      </c>
      <c r="E224" s="16">
        <v>1759.2</v>
      </c>
      <c r="F224" s="21">
        <f ca="1">IF(AR_table[[#This Row],[due_date]]&gt;=TODAY(),0,NETWORKDAYS(AR_table[[#This Row],[due_date]],TODAY()))</f>
        <v>0</v>
      </c>
      <c r="G224" s="4" t="str">
        <f ca="1">VLOOKUP(AR_age_category!$F224,Table4[#All],2)</f>
        <v>Not due</v>
      </c>
    </row>
    <row r="225" spans="1:7" x14ac:dyDescent="0.3">
      <c r="A225" s="11" t="s">
        <v>215</v>
      </c>
      <c r="B225" s="2" t="s">
        <v>595</v>
      </c>
      <c r="C225" s="12">
        <v>46008</v>
      </c>
      <c r="D225" s="12">
        <f>WORKDAY(AR_age_category!$C225,$J$1)</f>
        <v>46050</v>
      </c>
      <c r="E225" s="13">
        <v>7446.1</v>
      </c>
      <c r="F225" s="21">
        <f ca="1">IF(AR_table[[#This Row],[due_date]]&gt;=TODAY(),0,NETWORKDAYS(AR_table[[#This Row],[due_date]],TODAY()))</f>
        <v>5</v>
      </c>
      <c r="G225" s="2" t="str">
        <f ca="1">VLOOKUP(AR_age_category!$F225,Table4[#All],2)</f>
        <v>1-30</v>
      </c>
    </row>
    <row r="226" spans="1:7" x14ac:dyDescent="0.3">
      <c r="A226" s="14" t="s">
        <v>216</v>
      </c>
      <c r="B226" s="4" t="s">
        <v>591</v>
      </c>
      <c r="C226" s="15">
        <v>46010</v>
      </c>
      <c r="D226" s="15">
        <f>WORKDAY(AR_age_category!$C226,$J$1)</f>
        <v>46052</v>
      </c>
      <c r="E226" s="16">
        <v>5244.86</v>
      </c>
      <c r="F226" s="21">
        <f ca="1">IF(AR_table[[#This Row],[due_date]]&gt;=TODAY(),0,NETWORKDAYS(AR_table[[#This Row],[due_date]],TODAY()))</f>
        <v>3</v>
      </c>
      <c r="G226" s="4" t="str">
        <f ca="1">VLOOKUP(AR_age_category!$F226,Table4[#All],2)</f>
        <v>1-30</v>
      </c>
    </row>
    <row r="227" spans="1:7" x14ac:dyDescent="0.3">
      <c r="A227" s="11" t="s">
        <v>217</v>
      </c>
      <c r="B227" s="2" t="s">
        <v>591</v>
      </c>
      <c r="C227" s="12">
        <v>45712</v>
      </c>
      <c r="D227" s="12">
        <f>WORKDAY(AR_age_category!$C227,$J$1)</f>
        <v>45754</v>
      </c>
      <c r="E227" s="13">
        <v>7281.91</v>
      </c>
      <c r="F227" s="21">
        <f ca="1">IF(AR_table[[#This Row],[due_date]]&gt;=TODAY(),0,NETWORKDAYS(AR_table[[#This Row],[due_date]],TODAY()))</f>
        <v>217</v>
      </c>
      <c r="G227" s="2" t="str">
        <f ca="1">VLOOKUP(AR_age_category!$F227,Table4[#All],2)</f>
        <v>&gt;90</v>
      </c>
    </row>
    <row r="228" spans="1:7" x14ac:dyDescent="0.3">
      <c r="A228" s="14" t="s">
        <v>218</v>
      </c>
      <c r="B228" s="4" t="s">
        <v>593</v>
      </c>
      <c r="C228" s="15">
        <v>45783</v>
      </c>
      <c r="D228" s="15">
        <f>WORKDAY(AR_age_category!$C228,$J$1)</f>
        <v>45825</v>
      </c>
      <c r="E228" s="16">
        <v>1209.49</v>
      </c>
      <c r="F228" s="21">
        <f ca="1">IF(AR_table[[#This Row],[due_date]]&gt;=TODAY(),0,NETWORKDAYS(AR_table[[#This Row],[due_date]],TODAY()))</f>
        <v>166</v>
      </c>
      <c r="G228" s="4" t="str">
        <f ca="1">VLOOKUP(AR_age_category!$F228,Table4[#All],2)</f>
        <v>&gt;90</v>
      </c>
    </row>
    <row r="229" spans="1:7" x14ac:dyDescent="0.3">
      <c r="A229" s="11" t="s">
        <v>219</v>
      </c>
      <c r="B229" s="2" t="s">
        <v>591</v>
      </c>
      <c r="C229" s="12">
        <v>45953</v>
      </c>
      <c r="D229" s="12">
        <f>WORKDAY(AR_age_category!$C229,$J$1)</f>
        <v>45995</v>
      </c>
      <c r="E229" s="13">
        <v>6584.61</v>
      </c>
      <c r="F229" s="21">
        <f ca="1">IF(AR_table[[#This Row],[due_date]]&gt;=TODAY(),0,NETWORKDAYS(AR_table[[#This Row],[due_date]],TODAY()))</f>
        <v>44</v>
      </c>
      <c r="G229" s="2" t="str">
        <f ca="1">VLOOKUP(AR_age_category!$F229,Table4[#All],2)</f>
        <v>31-60</v>
      </c>
    </row>
    <row r="230" spans="1:7" x14ac:dyDescent="0.3">
      <c r="A230" s="14" t="s">
        <v>220</v>
      </c>
      <c r="B230" s="4" t="s">
        <v>592</v>
      </c>
      <c r="C230" s="15">
        <v>45687</v>
      </c>
      <c r="D230" s="15">
        <f>WORKDAY(AR_age_category!$C230,$J$1)</f>
        <v>45729</v>
      </c>
      <c r="E230" s="16">
        <v>4282.2299999999996</v>
      </c>
      <c r="F230" s="21">
        <f ca="1">IF(AR_table[[#This Row],[due_date]]&gt;=TODAY(),0,NETWORKDAYS(AR_table[[#This Row],[due_date]],TODAY()))</f>
        <v>234</v>
      </c>
      <c r="G230" s="4" t="str">
        <f ca="1">VLOOKUP(AR_age_category!$F230,Table4[#All],2)</f>
        <v>&gt;90</v>
      </c>
    </row>
    <row r="231" spans="1:7" x14ac:dyDescent="0.3">
      <c r="A231" s="11" t="s">
        <v>221</v>
      </c>
      <c r="B231" s="2" t="s">
        <v>591</v>
      </c>
      <c r="C231" s="12">
        <v>46188</v>
      </c>
      <c r="D231" s="12">
        <f>WORKDAY(AR_age_category!$C231,$J$1)</f>
        <v>46230</v>
      </c>
      <c r="E231" s="13">
        <v>443.26</v>
      </c>
      <c r="F231" s="21">
        <f ca="1">IF(AR_table[[#This Row],[due_date]]&gt;=TODAY(),0,NETWORKDAYS(AR_table[[#This Row],[due_date]],TODAY()))</f>
        <v>0</v>
      </c>
      <c r="G231" s="2" t="str">
        <f ca="1">VLOOKUP(AR_age_category!$F231,Table4[#All],2)</f>
        <v>Not due</v>
      </c>
    </row>
    <row r="232" spans="1:7" x14ac:dyDescent="0.3">
      <c r="A232" s="14" t="s">
        <v>222</v>
      </c>
      <c r="B232" s="4" t="s">
        <v>591</v>
      </c>
      <c r="C232" s="15">
        <v>45817</v>
      </c>
      <c r="D232" s="15">
        <f>WORKDAY(AR_age_category!$C232,$J$1)</f>
        <v>45859</v>
      </c>
      <c r="E232" s="16">
        <v>6477.19</v>
      </c>
      <c r="F232" s="21">
        <f ca="1">IF(AR_table[[#This Row],[due_date]]&gt;=TODAY(),0,NETWORKDAYS(AR_table[[#This Row],[due_date]],TODAY()))</f>
        <v>142</v>
      </c>
      <c r="G232" s="4" t="str">
        <f ca="1">VLOOKUP(AR_age_category!$F232,Table4[#All],2)</f>
        <v>&gt;90</v>
      </c>
    </row>
    <row r="233" spans="1:7" x14ac:dyDescent="0.3">
      <c r="A233" s="11" t="s">
        <v>223</v>
      </c>
      <c r="B233" s="2" t="s">
        <v>595</v>
      </c>
      <c r="C233" s="12">
        <v>45738</v>
      </c>
      <c r="D233" s="12">
        <f>WORKDAY(AR_age_category!$C233,$J$1)</f>
        <v>45779</v>
      </c>
      <c r="E233" s="13">
        <v>2160.27</v>
      </c>
      <c r="F233" s="21">
        <f ca="1">IF(AR_table[[#This Row],[due_date]]&gt;=TODAY(),0,NETWORKDAYS(AR_table[[#This Row],[due_date]],TODAY()))</f>
        <v>198</v>
      </c>
      <c r="G233" s="2" t="str">
        <f ca="1">VLOOKUP(AR_age_category!$F233,Table4[#All],2)</f>
        <v>&gt;90</v>
      </c>
    </row>
    <row r="234" spans="1:7" x14ac:dyDescent="0.3">
      <c r="A234" s="11" t="s">
        <v>224</v>
      </c>
      <c r="B234" s="2" t="s">
        <v>593</v>
      </c>
      <c r="C234" s="12">
        <v>45897</v>
      </c>
      <c r="D234" s="12">
        <f>WORKDAY(AR_age_category!$C234,$J$1)</f>
        <v>45939</v>
      </c>
      <c r="E234" s="13">
        <v>2252.3000000000002</v>
      </c>
      <c r="F234" s="21">
        <f ca="1">IF(AR_table[[#This Row],[due_date]]&gt;=TODAY(),0,NETWORKDAYS(AR_table[[#This Row],[due_date]],TODAY()))</f>
        <v>84</v>
      </c>
      <c r="G234" s="2" t="str">
        <f ca="1">VLOOKUP(AR_age_category!$F234,Table4[#All],2)</f>
        <v>61-90</v>
      </c>
    </row>
    <row r="235" spans="1:7" x14ac:dyDescent="0.3">
      <c r="A235" s="14" t="s">
        <v>225</v>
      </c>
      <c r="B235" s="4" t="s">
        <v>593</v>
      </c>
      <c r="C235" s="15">
        <v>45926</v>
      </c>
      <c r="D235" s="15">
        <f>WORKDAY(AR_age_category!$C235,$J$1)</f>
        <v>45968</v>
      </c>
      <c r="E235" s="16">
        <v>235.01</v>
      </c>
      <c r="F235" s="21">
        <f ca="1">IF(AR_table[[#This Row],[due_date]]&gt;=TODAY(),0,NETWORKDAYS(AR_table[[#This Row],[due_date]],TODAY()))</f>
        <v>63</v>
      </c>
      <c r="G235" s="4" t="str">
        <f ca="1">VLOOKUP(AR_age_category!$F235,Table4[#All],2)</f>
        <v>61-90</v>
      </c>
    </row>
    <row r="236" spans="1:7" x14ac:dyDescent="0.3">
      <c r="A236" s="11" t="s">
        <v>226</v>
      </c>
      <c r="B236" s="2" t="s">
        <v>594</v>
      </c>
      <c r="C236" s="12">
        <v>45720</v>
      </c>
      <c r="D236" s="12">
        <f>WORKDAY(AR_age_category!$C236,$J$1)</f>
        <v>45762</v>
      </c>
      <c r="E236" s="13">
        <v>3315.73</v>
      </c>
      <c r="F236" s="21">
        <f ca="1">IF(AR_table[[#This Row],[due_date]]&gt;=TODAY(),0,NETWORKDAYS(AR_table[[#This Row],[due_date]],TODAY()))</f>
        <v>211</v>
      </c>
      <c r="G236" s="2" t="str">
        <f ca="1">VLOOKUP(AR_age_category!$F236,Table4[#All],2)</f>
        <v>&gt;90</v>
      </c>
    </row>
    <row r="237" spans="1:7" x14ac:dyDescent="0.3">
      <c r="A237" s="14" t="s">
        <v>227</v>
      </c>
      <c r="B237" s="4" t="s">
        <v>593</v>
      </c>
      <c r="C237" s="15">
        <v>45970</v>
      </c>
      <c r="D237" s="15">
        <f>WORKDAY(AR_age_category!$C237,$J$1)</f>
        <v>46010</v>
      </c>
      <c r="E237" s="16">
        <v>6472.22</v>
      </c>
      <c r="F237" s="21">
        <f ca="1">IF(AR_table[[#This Row],[due_date]]&gt;=TODAY(),0,NETWORKDAYS(AR_table[[#This Row],[due_date]],TODAY()))</f>
        <v>33</v>
      </c>
      <c r="G237" s="4" t="str">
        <f ca="1">VLOOKUP(AR_age_category!$F237,Table4[#All],2)</f>
        <v>31-60</v>
      </c>
    </row>
    <row r="238" spans="1:7" x14ac:dyDescent="0.3">
      <c r="A238" s="11" t="s">
        <v>228</v>
      </c>
      <c r="B238" s="2" t="s">
        <v>594</v>
      </c>
      <c r="C238" s="12">
        <v>46092</v>
      </c>
      <c r="D238" s="12">
        <f>WORKDAY(AR_age_category!$C238,$J$1)</f>
        <v>46134</v>
      </c>
      <c r="E238" s="13">
        <v>3493.6</v>
      </c>
      <c r="F238" s="21">
        <f ca="1">IF(AR_table[[#This Row],[due_date]]&gt;=TODAY(),0,NETWORKDAYS(AR_table[[#This Row],[due_date]],TODAY()))</f>
        <v>0</v>
      </c>
      <c r="G238" s="2" t="str">
        <f ca="1">VLOOKUP(AR_age_category!$F238,Table4[#All],2)</f>
        <v>Not due</v>
      </c>
    </row>
    <row r="239" spans="1:7" x14ac:dyDescent="0.3">
      <c r="A239" s="14" t="s">
        <v>229</v>
      </c>
      <c r="B239" s="4" t="s">
        <v>595</v>
      </c>
      <c r="C239" s="15">
        <v>46045</v>
      </c>
      <c r="D239" s="15">
        <f>WORKDAY(AR_age_category!$C239,$J$1)</f>
        <v>46087</v>
      </c>
      <c r="E239" s="16">
        <v>547.94000000000005</v>
      </c>
      <c r="F239" s="21">
        <f ca="1">IF(AR_table[[#This Row],[due_date]]&gt;=TODAY(),0,NETWORKDAYS(AR_table[[#This Row],[due_date]],TODAY()))</f>
        <v>0</v>
      </c>
      <c r="G239" s="4" t="str">
        <f ca="1">VLOOKUP(AR_age_category!$F239,Table4[#All],2)</f>
        <v>Not due</v>
      </c>
    </row>
    <row r="240" spans="1:7" x14ac:dyDescent="0.3">
      <c r="A240" s="11" t="s">
        <v>230</v>
      </c>
      <c r="B240" s="2" t="s">
        <v>591</v>
      </c>
      <c r="C240" s="12">
        <v>46003</v>
      </c>
      <c r="D240" s="12">
        <f>WORKDAY(AR_age_category!$C240,$J$1)</f>
        <v>46045</v>
      </c>
      <c r="E240" s="13">
        <v>5276.49</v>
      </c>
      <c r="F240" s="21">
        <f ca="1">IF(AR_table[[#This Row],[due_date]]&gt;=TODAY(),0,NETWORKDAYS(AR_table[[#This Row],[due_date]],TODAY()))</f>
        <v>8</v>
      </c>
      <c r="G240" s="2" t="str">
        <f ca="1">VLOOKUP(AR_age_category!$F240,Table4[#All],2)</f>
        <v>1-30</v>
      </c>
    </row>
    <row r="241" spans="1:7" x14ac:dyDescent="0.3">
      <c r="A241" s="14" t="s">
        <v>231</v>
      </c>
      <c r="B241" s="4" t="s">
        <v>595</v>
      </c>
      <c r="C241" s="15">
        <v>45767</v>
      </c>
      <c r="D241" s="15">
        <f>WORKDAY(AR_age_category!$C241,$J$1)</f>
        <v>45807</v>
      </c>
      <c r="E241" s="16">
        <v>1752.5</v>
      </c>
      <c r="F241" s="21">
        <f ca="1">IF(AR_table[[#This Row],[due_date]]&gt;=TODAY(),0,NETWORKDAYS(AR_table[[#This Row],[due_date]],TODAY()))</f>
        <v>178</v>
      </c>
      <c r="G241" s="4" t="str">
        <f ca="1">VLOOKUP(AR_age_category!$F241,Table4[#All],2)</f>
        <v>&gt;90</v>
      </c>
    </row>
    <row r="242" spans="1:7" x14ac:dyDescent="0.3">
      <c r="A242" s="11" t="s">
        <v>232</v>
      </c>
      <c r="B242" s="2" t="s">
        <v>595</v>
      </c>
      <c r="C242" s="12">
        <v>46192</v>
      </c>
      <c r="D242" s="12">
        <f>WORKDAY(AR_age_category!$C242,$J$1)</f>
        <v>46234</v>
      </c>
      <c r="E242" s="13">
        <v>3580.72</v>
      </c>
      <c r="F242" s="21">
        <f ca="1">IF(AR_table[[#This Row],[due_date]]&gt;=TODAY(),0,NETWORKDAYS(AR_table[[#This Row],[due_date]],TODAY()))</f>
        <v>0</v>
      </c>
      <c r="G242" s="2" t="str">
        <f ca="1">VLOOKUP(AR_age_category!$F242,Table4[#All],2)</f>
        <v>Not due</v>
      </c>
    </row>
    <row r="243" spans="1:7" x14ac:dyDescent="0.3">
      <c r="A243" s="14" t="s">
        <v>233</v>
      </c>
      <c r="B243" s="4" t="s">
        <v>592</v>
      </c>
      <c r="C243" s="15">
        <v>45893</v>
      </c>
      <c r="D243" s="15">
        <f>WORKDAY(AR_age_category!$C243,$J$1)</f>
        <v>45933</v>
      </c>
      <c r="E243" s="16">
        <v>6738.75</v>
      </c>
      <c r="F243" s="21">
        <f ca="1">IF(AR_table[[#This Row],[due_date]]&gt;=TODAY(),0,NETWORKDAYS(AR_table[[#This Row],[due_date]],TODAY()))</f>
        <v>88</v>
      </c>
      <c r="G243" s="4" t="str">
        <f ca="1">VLOOKUP(AR_age_category!$F243,Table4[#All],2)</f>
        <v>61-90</v>
      </c>
    </row>
    <row r="244" spans="1:7" x14ac:dyDescent="0.3">
      <c r="A244" s="11" t="s">
        <v>234</v>
      </c>
      <c r="B244" s="2" t="s">
        <v>594</v>
      </c>
      <c r="C244" s="12">
        <v>45792</v>
      </c>
      <c r="D244" s="12">
        <f>WORKDAY(AR_age_category!$C244,$J$1)</f>
        <v>45834</v>
      </c>
      <c r="E244" s="13">
        <v>6004.91</v>
      </c>
      <c r="F244" s="21">
        <f ca="1">IF(AR_table[[#This Row],[due_date]]&gt;=TODAY(),0,NETWORKDAYS(AR_table[[#This Row],[due_date]],TODAY()))</f>
        <v>159</v>
      </c>
      <c r="G244" s="2" t="str">
        <f ca="1">VLOOKUP(AR_age_category!$F244,Table4[#All],2)</f>
        <v>&gt;90</v>
      </c>
    </row>
    <row r="245" spans="1:7" x14ac:dyDescent="0.3">
      <c r="A245" s="14" t="s">
        <v>235</v>
      </c>
      <c r="B245" s="4" t="s">
        <v>592</v>
      </c>
      <c r="C245" s="15">
        <v>45705</v>
      </c>
      <c r="D245" s="15">
        <f>WORKDAY(AR_age_category!$C245,$J$1)</f>
        <v>45747</v>
      </c>
      <c r="E245" s="16">
        <v>7397.93</v>
      </c>
      <c r="F245" s="21">
        <f ca="1">IF(AR_table[[#This Row],[due_date]]&gt;=TODAY(),0,NETWORKDAYS(AR_table[[#This Row],[due_date]],TODAY()))</f>
        <v>222</v>
      </c>
      <c r="G245" s="4" t="str">
        <f ca="1">VLOOKUP(AR_age_category!$F245,Table4[#All],2)</f>
        <v>&gt;90</v>
      </c>
    </row>
    <row r="246" spans="1:7" x14ac:dyDescent="0.3">
      <c r="A246" s="14" t="s">
        <v>236</v>
      </c>
      <c r="B246" s="4" t="s">
        <v>592</v>
      </c>
      <c r="C246" s="15">
        <v>45936</v>
      </c>
      <c r="D246" s="15">
        <f>WORKDAY(AR_age_category!$C246,$J$1)</f>
        <v>45978</v>
      </c>
      <c r="E246" s="16">
        <v>6683.45</v>
      </c>
      <c r="F246" s="21">
        <f ca="1">IF(AR_table[[#This Row],[due_date]]&gt;=TODAY(),0,NETWORKDAYS(AR_table[[#This Row],[due_date]],TODAY()))</f>
        <v>57</v>
      </c>
      <c r="G246" s="4" t="str">
        <f ca="1">VLOOKUP(AR_age_category!$F246,Table4[#All],2)</f>
        <v>31-60</v>
      </c>
    </row>
    <row r="247" spans="1:7" x14ac:dyDescent="0.3">
      <c r="A247" s="14" t="s">
        <v>237</v>
      </c>
      <c r="B247" s="4" t="s">
        <v>595</v>
      </c>
      <c r="C247" s="15">
        <v>45941</v>
      </c>
      <c r="D247" s="15">
        <f>WORKDAY(AR_age_category!$C247,$J$1)</f>
        <v>45982</v>
      </c>
      <c r="E247" s="16">
        <v>6345.32</v>
      </c>
      <c r="F247" s="21">
        <f ca="1">IF(AR_table[[#This Row],[due_date]]&gt;=TODAY(),0,NETWORKDAYS(AR_table[[#This Row],[due_date]],TODAY()))</f>
        <v>53</v>
      </c>
      <c r="G247" s="4" t="str">
        <f ca="1">VLOOKUP(AR_age_category!$F247,Table4[#All],2)</f>
        <v>31-60</v>
      </c>
    </row>
    <row r="248" spans="1:7" x14ac:dyDescent="0.3">
      <c r="A248" s="14" t="s">
        <v>238</v>
      </c>
      <c r="B248" s="4" t="s">
        <v>591</v>
      </c>
      <c r="C248" s="15">
        <v>46141</v>
      </c>
      <c r="D248" s="15">
        <f>WORKDAY(AR_age_category!$C248,$J$1)</f>
        <v>46183</v>
      </c>
      <c r="E248" s="16">
        <v>6384.66</v>
      </c>
      <c r="F248" s="21">
        <f ca="1">IF(AR_table[[#This Row],[due_date]]&gt;=TODAY(),0,NETWORKDAYS(AR_table[[#This Row],[due_date]],TODAY()))</f>
        <v>0</v>
      </c>
      <c r="G248" s="4" t="str">
        <f ca="1">VLOOKUP(AR_age_category!$F248,Table4[#All],2)</f>
        <v>Not due</v>
      </c>
    </row>
    <row r="249" spans="1:7" x14ac:dyDescent="0.3">
      <c r="A249" s="11" t="s">
        <v>239</v>
      </c>
      <c r="B249" s="2" t="s">
        <v>593</v>
      </c>
      <c r="C249" s="12">
        <v>45692</v>
      </c>
      <c r="D249" s="12">
        <f>WORKDAY(AR_age_category!$C249,$J$1)</f>
        <v>45734</v>
      </c>
      <c r="E249" s="13">
        <v>7693.54</v>
      </c>
      <c r="F249" s="21">
        <f ca="1">IF(AR_table[[#This Row],[due_date]]&gt;=TODAY(),0,NETWORKDAYS(AR_table[[#This Row],[due_date]],TODAY()))</f>
        <v>231</v>
      </c>
      <c r="G249" s="2" t="str">
        <f ca="1">VLOOKUP(AR_age_category!$F249,Table4[#All],2)</f>
        <v>&gt;90</v>
      </c>
    </row>
    <row r="250" spans="1:7" x14ac:dyDescent="0.3">
      <c r="A250" s="14" t="s">
        <v>240</v>
      </c>
      <c r="B250" s="4" t="s">
        <v>593</v>
      </c>
      <c r="C250" s="15">
        <v>45904</v>
      </c>
      <c r="D250" s="15">
        <f>WORKDAY(AR_age_category!$C250,$J$1)</f>
        <v>45946</v>
      </c>
      <c r="E250" s="16">
        <v>6624.35</v>
      </c>
      <c r="F250" s="21">
        <f ca="1">IF(AR_table[[#This Row],[due_date]]&gt;=TODAY(),0,NETWORKDAYS(AR_table[[#This Row],[due_date]],TODAY()))</f>
        <v>79</v>
      </c>
      <c r="G250" s="4" t="str">
        <f ca="1">VLOOKUP(AR_age_category!$F250,Table4[#All],2)</f>
        <v>61-90</v>
      </c>
    </row>
    <row r="251" spans="1:7" x14ac:dyDescent="0.3">
      <c r="A251" s="14" t="s">
        <v>241</v>
      </c>
      <c r="B251" s="4" t="s">
        <v>595</v>
      </c>
      <c r="C251" s="15">
        <v>45676</v>
      </c>
      <c r="D251" s="15">
        <f>WORKDAY(AR_age_category!$C251,$J$1)</f>
        <v>45716</v>
      </c>
      <c r="E251" s="16">
        <v>6594.56</v>
      </c>
      <c r="F251" s="21">
        <f ca="1">IF(AR_table[[#This Row],[due_date]]&gt;=TODAY(),0,NETWORKDAYS(AR_table[[#This Row],[due_date]],TODAY()))</f>
        <v>243</v>
      </c>
      <c r="G251" s="4" t="str">
        <f ca="1">VLOOKUP(AR_age_category!$F251,Table4[#All],2)</f>
        <v>&gt;90</v>
      </c>
    </row>
    <row r="252" spans="1:7" x14ac:dyDescent="0.3">
      <c r="A252" s="11" t="s">
        <v>242</v>
      </c>
      <c r="B252" s="2" t="s">
        <v>591</v>
      </c>
      <c r="C252" s="12">
        <v>45994</v>
      </c>
      <c r="D252" s="12">
        <f>WORKDAY(AR_age_category!$C252,$J$1)</f>
        <v>46036</v>
      </c>
      <c r="E252" s="13">
        <v>1143.42</v>
      </c>
      <c r="F252" s="21">
        <f ca="1">IF(AR_table[[#This Row],[due_date]]&gt;=TODAY(),0,NETWORKDAYS(AR_table[[#This Row],[due_date]],TODAY()))</f>
        <v>15</v>
      </c>
      <c r="G252" s="2" t="str">
        <f ca="1">VLOOKUP(AR_age_category!$F252,Table4[#All],2)</f>
        <v>1-30</v>
      </c>
    </row>
    <row r="253" spans="1:7" x14ac:dyDescent="0.3">
      <c r="A253" s="14" t="s">
        <v>243</v>
      </c>
      <c r="B253" s="4" t="s">
        <v>594</v>
      </c>
      <c r="C253" s="15">
        <v>46058</v>
      </c>
      <c r="D253" s="15">
        <f>WORKDAY(AR_age_category!$C253,$J$1)</f>
        <v>46100</v>
      </c>
      <c r="E253" s="16">
        <v>4928.9399999999996</v>
      </c>
      <c r="F253" s="21">
        <f ca="1">IF(AR_table[[#This Row],[due_date]]&gt;=TODAY(),0,NETWORKDAYS(AR_table[[#This Row],[due_date]],TODAY()))</f>
        <v>0</v>
      </c>
      <c r="G253" s="4" t="str">
        <f ca="1">VLOOKUP(AR_age_category!$F253,Table4[#All],2)</f>
        <v>Not due</v>
      </c>
    </row>
    <row r="254" spans="1:7" x14ac:dyDescent="0.3">
      <c r="A254" s="11" t="s">
        <v>244</v>
      </c>
      <c r="B254" s="2" t="s">
        <v>595</v>
      </c>
      <c r="C254" s="12">
        <v>45659</v>
      </c>
      <c r="D254" s="12">
        <f>WORKDAY(AR_age_category!$C254,$J$1)</f>
        <v>45701</v>
      </c>
      <c r="E254" s="13">
        <v>1440.91</v>
      </c>
      <c r="F254" s="21">
        <f ca="1">IF(AR_table[[#This Row],[due_date]]&gt;=TODAY(),0,NETWORKDAYS(AR_table[[#This Row],[due_date]],TODAY()))</f>
        <v>254</v>
      </c>
      <c r="G254" s="2" t="str">
        <f ca="1">VLOOKUP(AR_age_category!$F254,Table4[#All],2)</f>
        <v>&gt;90</v>
      </c>
    </row>
    <row r="255" spans="1:7" x14ac:dyDescent="0.3">
      <c r="A255" s="11" t="s">
        <v>245</v>
      </c>
      <c r="B255" s="2" t="s">
        <v>595</v>
      </c>
      <c r="C255" s="12">
        <v>45818</v>
      </c>
      <c r="D255" s="12">
        <f>WORKDAY(AR_age_category!$C255,$J$1)</f>
        <v>45860</v>
      </c>
      <c r="E255" s="13">
        <v>1827.23</v>
      </c>
      <c r="F255" s="21">
        <f ca="1">IF(AR_table[[#This Row],[due_date]]&gt;=TODAY(),0,NETWORKDAYS(AR_table[[#This Row],[due_date]],TODAY()))</f>
        <v>141</v>
      </c>
      <c r="G255" s="2" t="str">
        <f ca="1">VLOOKUP(AR_age_category!$F255,Table4[#All],2)</f>
        <v>&gt;90</v>
      </c>
    </row>
    <row r="256" spans="1:7" x14ac:dyDescent="0.3">
      <c r="A256" s="11" t="s">
        <v>246</v>
      </c>
      <c r="B256" s="2" t="s">
        <v>591</v>
      </c>
      <c r="C256" s="12">
        <v>45906</v>
      </c>
      <c r="D256" s="12">
        <f>WORKDAY(AR_age_category!$C256,$J$1)</f>
        <v>45947</v>
      </c>
      <c r="E256" s="13">
        <v>3694.12</v>
      </c>
      <c r="F256" s="21">
        <f ca="1">IF(AR_table[[#This Row],[due_date]]&gt;=TODAY(),0,NETWORKDAYS(AR_table[[#This Row],[due_date]],TODAY()))</f>
        <v>78</v>
      </c>
      <c r="G256" s="2" t="str">
        <f ca="1">VLOOKUP(AR_age_category!$F256,Table4[#All],2)</f>
        <v>61-90</v>
      </c>
    </row>
    <row r="257" spans="1:7" x14ac:dyDescent="0.3">
      <c r="A257" s="14" t="s">
        <v>247</v>
      </c>
      <c r="B257" s="4" t="s">
        <v>595</v>
      </c>
      <c r="C257" s="15">
        <v>45883</v>
      </c>
      <c r="D257" s="15">
        <f>WORKDAY(AR_age_category!$C257,$J$1)</f>
        <v>45925</v>
      </c>
      <c r="E257" s="16">
        <v>2691.8</v>
      </c>
      <c r="F257" s="21">
        <f ca="1">IF(AR_table[[#This Row],[due_date]]&gt;=TODAY(),0,NETWORKDAYS(AR_table[[#This Row],[due_date]],TODAY()))</f>
        <v>94</v>
      </c>
      <c r="G257" s="4" t="str">
        <f ca="1">VLOOKUP(AR_age_category!$F257,Table4[#All],2)</f>
        <v>&gt;90</v>
      </c>
    </row>
    <row r="258" spans="1:7" x14ac:dyDescent="0.3">
      <c r="A258" s="11" t="s">
        <v>248</v>
      </c>
      <c r="B258" s="2" t="s">
        <v>594</v>
      </c>
      <c r="C258" s="12">
        <v>45879</v>
      </c>
      <c r="D258" s="12">
        <f>WORKDAY(AR_age_category!$C258,$J$1)</f>
        <v>45919</v>
      </c>
      <c r="E258" s="13">
        <v>607.58000000000004</v>
      </c>
      <c r="F258" s="21">
        <f ca="1">IF(AR_table[[#This Row],[due_date]]&gt;=TODAY(),0,NETWORKDAYS(AR_table[[#This Row],[due_date]],TODAY()))</f>
        <v>98</v>
      </c>
      <c r="G258" s="2" t="str">
        <f ca="1">VLOOKUP(AR_age_category!$F258,Table4[#All],2)</f>
        <v>&gt;90</v>
      </c>
    </row>
    <row r="259" spans="1:7" x14ac:dyDescent="0.3">
      <c r="A259" s="14" t="s">
        <v>249</v>
      </c>
      <c r="B259" s="4" t="s">
        <v>594</v>
      </c>
      <c r="C259" s="15">
        <v>45855</v>
      </c>
      <c r="D259" s="15">
        <f>WORKDAY(AR_age_category!$C259,$J$1)</f>
        <v>45897</v>
      </c>
      <c r="E259" s="16">
        <v>6330.55</v>
      </c>
      <c r="F259" s="21">
        <f ca="1">IF(AR_table[[#This Row],[due_date]]&gt;=TODAY(),0,NETWORKDAYS(AR_table[[#This Row],[due_date]],TODAY()))</f>
        <v>114</v>
      </c>
      <c r="G259" s="4" t="str">
        <f ca="1">VLOOKUP(AR_age_category!$F259,Table4[#All],2)</f>
        <v>&gt;90</v>
      </c>
    </row>
    <row r="260" spans="1:7" x14ac:dyDescent="0.3">
      <c r="A260" s="11" t="s">
        <v>250</v>
      </c>
      <c r="B260" s="2" t="s">
        <v>591</v>
      </c>
      <c r="C260" s="12">
        <v>45787</v>
      </c>
      <c r="D260" s="12">
        <f>WORKDAY(AR_age_category!$C260,$J$1)</f>
        <v>45828</v>
      </c>
      <c r="E260" s="13">
        <v>3116.61</v>
      </c>
      <c r="F260" s="21">
        <f ca="1">IF(AR_table[[#This Row],[due_date]]&gt;=TODAY(),0,NETWORKDAYS(AR_table[[#This Row],[due_date]],TODAY()))</f>
        <v>163</v>
      </c>
      <c r="G260" s="2" t="str">
        <f ca="1">VLOOKUP(AR_age_category!$F260,Table4[#All],2)</f>
        <v>&gt;90</v>
      </c>
    </row>
    <row r="261" spans="1:7" x14ac:dyDescent="0.3">
      <c r="A261" s="14" t="s">
        <v>251</v>
      </c>
      <c r="B261" s="4" t="s">
        <v>592</v>
      </c>
      <c r="C261" s="15">
        <v>45678</v>
      </c>
      <c r="D261" s="15">
        <f>WORKDAY(AR_age_category!$C261,$J$1)</f>
        <v>45720</v>
      </c>
      <c r="E261" s="16">
        <v>3804.81</v>
      </c>
      <c r="F261" s="21">
        <f ca="1">IF(AR_table[[#This Row],[due_date]]&gt;=TODAY(),0,NETWORKDAYS(AR_table[[#This Row],[due_date]],TODAY()))</f>
        <v>241</v>
      </c>
      <c r="G261" s="4" t="str">
        <f ca="1">VLOOKUP(AR_age_category!$F261,Table4[#All],2)</f>
        <v>&gt;90</v>
      </c>
    </row>
    <row r="262" spans="1:7" x14ac:dyDescent="0.3">
      <c r="A262" s="14" t="s">
        <v>252</v>
      </c>
      <c r="B262" s="4" t="s">
        <v>592</v>
      </c>
      <c r="C262" s="15">
        <v>45863</v>
      </c>
      <c r="D262" s="15">
        <f>WORKDAY(AR_age_category!$C262,$J$1)</f>
        <v>45905</v>
      </c>
      <c r="E262" s="16">
        <v>7847.61</v>
      </c>
      <c r="F262" s="21">
        <f ca="1">IF(AR_table[[#This Row],[due_date]]&gt;=TODAY(),0,NETWORKDAYS(AR_table[[#This Row],[due_date]],TODAY()))</f>
        <v>108</v>
      </c>
      <c r="G262" s="4" t="str">
        <f ca="1">VLOOKUP(AR_age_category!$F262,Table4[#All],2)</f>
        <v>&gt;90</v>
      </c>
    </row>
    <row r="263" spans="1:7" x14ac:dyDescent="0.3">
      <c r="A263" s="11" t="s">
        <v>253</v>
      </c>
      <c r="B263" s="2" t="s">
        <v>595</v>
      </c>
      <c r="C263" s="12">
        <v>45773</v>
      </c>
      <c r="D263" s="12">
        <f>WORKDAY(AR_age_category!$C263,$J$1)</f>
        <v>45814</v>
      </c>
      <c r="E263" s="13">
        <v>6567.27</v>
      </c>
      <c r="F263" s="21">
        <f ca="1">IF(AR_table[[#This Row],[due_date]]&gt;=TODAY(),0,NETWORKDAYS(AR_table[[#This Row],[due_date]],TODAY()))</f>
        <v>173</v>
      </c>
      <c r="G263" s="2" t="str">
        <f ca="1">VLOOKUP(AR_age_category!$F263,Table4[#All],2)</f>
        <v>&gt;90</v>
      </c>
    </row>
    <row r="264" spans="1:7" x14ac:dyDescent="0.3">
      <c r="A264" s="11" t="s">
        <v>254</v>
      </c>
      <c r="B264" s="2" t="s">
        <v>595</v>
      </c>
      <c r="C264" s="12">
        <v>45824</v>
      </c>
      <c r="D264" s="12">
        <f>WORKDAY(AR_age_category!$C264,$J$1)</f>
        <v>45866</v>
      </c>
      <c r="E264" s="13">
        <v>1676.02</v>
      </c>
      <c r="F264" s="21">
        <f ca="1">IF(AR_table[[#This Row],[due_date]]&gt;=TODAY(),0,NETWORKDAYS(AR_table[[#This Row],[due_date]],TODAY()))</f>
        <v>137</v>
      </c>
      <c r="G264" s="2" t="str">
        <f ca="1">VLOOKUP(AR_age_category!$F264,Table4[#All],2)</f>
        <v>&gt;90</v>
      </c>
    </row>
    <row r="265" spans="1:7" x14ac:dyDescent="0.3">
      <c r="A265" s="14" t="s">
        <v>255</v>
      </c>
      <c r="B265" s="4" t="s">
        <v>593</v>
      </c>
      <c r="C265" s="15">
        <v>45811</v>
      </c>
      <c r="D265" s="15">
        <f>WORKDAY(AR_age_category!$C265,$J$1)</f>
        <v>45853</v>
      </c>
      <c r="E265" s="16">
        <v>2327.48</v>
      </c>
      <c r="F265" s="21">
        <f ca="1">IF(AR_table[[#This Row],[due_date]]&gt;=TODAY(),0,NETWORKDAYS(AR_table[[#This Row],[due_date]],TODAY()))</f>
        <v>146</v>
      </c>
      <c r="G265" s="4" t="str">
        <f ca="1">VLOOKUP(AR_age_category!$F265,Table4[#All],2)</f>
        <v>&gt;90</v>
      </c>
    </row>
    <row r="266" spans="1:7" x14ac:dyDescent="0.3">
      <c r="A266" s="11" t="s">
        <v>256</v>
      </c>
      <c r="B266" s="2" t="s">
        <v>595</v>
      </c>
      <c r="C266" s="12">
        <v>46130</v>
      </c>
      <c r="D266" s="12">
        <f>WORKDAY(AR_age_category!$C266,$J$1)</f>
        <v>46171</v>
      </c>
      <c r="E266" s="13">
        <v>3446.92</v>
      </c>
      <c r="F266" s="21">
        <f ca="1">IF(AR_table[[#This Row],[due_date]]&gt;=TODAY(),0,NETWORKDAYS(AR_table[[#This Row],[due_date]],TODAY()))</f>
        <v>0</v>
      </c>
      <c r="G266" s="2" t="str">
        <f ca="1">VLOOKUP(AR_age_category!$F266,Table4[#All],2)</f>
        <v>Not due</v>
      </c>
    </row>
    <row r="267" spans="1:7" x14ac:dyDescent="0.3">
      <c r="A267" s="14" t="s">
        <v>257</v>
      </c>
      <c r="B267" s="4" t="s">
        <v>594</v>
      </c>
      <c r="C267" s="15">
        <v>45858</v>
      </c>
      <c r="D267" s="15">
        <f>WORKDAY(AR_age_category!$C267,$J$1)</f>
        <v>45898</v>
      </c>
      <c r="E267" s="16">
        <v>7984.68</v>
      </c>
      <c r="F267" s="21">
        <f ca="1">IF(AR_table[[#This Row],[due_date]]&gt;=TODAY(),0,NETWORKDAYS(AR_table[[#This Row],[due_date]],TODAY()))</f>
        <v>113</v>
      </c>
      <c r="G267" s="4" t="str">
        <f ca="1">VLOOKUP(AR_age_category!$F267,Table4[#All],2)</f>
        <v>&gt;90</v>
      </c>
    </row>
    <row r="268" spans="1:7" x14ac:dyDescent="0.3">
      <c r="A268" s="11" t="s">
        <v>258</v>
      </c>
      <c r="B268" s="2" t="s">
        <v>591</v>
      </c>
      <c r="C268" s="12">
        <v>45680</v>
      </c>
      <c r="D268" s="12">
        <f>WORKDAY(AR_age_category!$C268,$J$1)</f>
        <v>45722</v>
      </c>
      <c r="E268" s="13">
        <v>6686.26</v>
      </c>
      <c r="F268" s="21">
        <f ca="1">IF(AR_table[[#This Row],[due_date]]&gt;=TODAY(),0,NETWORKDAYS(AR_table[[#This Row],[due_date]],TODAY()))</f>
        <v>239</v>
      </c>
      <c r="G268" s="2" t="str">
        <f ca="1">VLOOKUP(AR_age_category!$F268,Table4[#All],2)</f>
        <v>&gt;90</v>
      </c>
    </row>
    <row r="269" spans="1:7" x14ac:dyDescent="0.3">
      <c r="A269" s="14" t="s">
        <v>259</v>
      </c>
      <c r="B269" s="4" t="s">
        <v>591</v>
      </c>
      <c r="C269" s="15">
        <v>46143</v>
      </c>
      <c r="D269" s="15">
        <f>WORKDAY(AR_age_category!$C269,$J$1)</f>
        <v>46185</v>
      </c>
      <c r="E269" s="16">
        <v>7289.46</v>
      </c>
      <c r="F269" s="21">
        <f ca="1">IF(AR_table[[#This Row],[due_date]]&gt;=TODAY(),0,NETWORKDAYS(AR_table[[#This Row],[due_date]],TODAY()))</f>
        <v>0</v>
      </c>
      <c r="G269" s="4" t="str">
        <f ca="1">VLOOKUP(AR_age_category!$F269,Table4[#All],2)</f>
        <v>Not due</v>
      </c>
    </row>
    <row r="270" spans="1:7" x14ac:dyDescent="0.3">
      <c r="A270" s="11" t="s">
        <v>260</v>
      </c>
      <c r="B270" s="2" t="s">
        <v>595</v>
      </c>
      <c r="C270" s="12">
        <v>46105</v>
      </c>
      <c r="D270" s="12">
        <f>WORKDAY(AR_age_category!$C270,$J$1)</f>
        <v>46147</v>
      </c>
      <c r="E270" s="13">
        <v>5288.29</v>
      </c>
      <c r="F270" s="21">
        <f ca="1">IF(AR_table[[#This Row],[due_date]]&gt;=TODAY(),0,NETWORKDAYS(AR_table[[#This Row],[due_date]],TODAY()))</f>
        <v>0</v>
      </c>
      <c r="G270" s="2" t="str">
        <f ca="1">VLOOKUP(AR_age_category!$F270,Table4[#All],2)</f>
        <v>Not due</v>
      </c>
    </row>
    <row r="271" spans="1:7" x14ac:dyDescent="0.3">
      <c r="A271" s="11" t="s">
        <v>261</v>
      </c>
      <c r="B271" s="2" t="s">
        <v>594</v>
      </c>
      <c r="C271" s="12">
        <v>46010</v>
      </c>
      <c r="D271" s="12">
        <f>WORKDAY(AR_age_category!$C271,$J$1)</f>
        <v>46052</v>
      </c>
      <c r="E271" s="13">
        <v>2428.5300000000002</v>
      </c>
      <c r="F271" s="21">
        <f ca="1">IF(AR_table[[#This Row],[due_date]]&gt;=TODAY(),0,NETWORKDAYS(AR_table[[#This Row],[due_date]],TODAY()))</f>
        <v>3</v>
      </c>
      <c r="G271" s="2" t="str">
        <f ca="1">VLOOKUP(AR_age_category!$F271,Table4[#All],2)</f>
        <v>1-30</v>
      </c>
    </row>
    <row r="272" spans="1:7" x14ac:dyDescent="0.3">
      <c r="A272" s="11" t="s">
        <v>262</v>
      </c>
      <c r="B272" s="2" t="s">
        <v>595</v>
      </c>
      <c r="C272" s="12">
        <v>45709</v>
      </c>
      <c r="D272" s="12">
        <f>WORKDAY(AR_age_category!$C272,$J$1)</f>
        <v>45751</v>
      </c>
      <c r="E272" s="13">
        <v>5625.72</v>
      </c>
      <c r="F272" s="21">
        <f ca="1">IF(AR_table[[#This Row],[due_date]]&gt;=TODAY(),0,NETWORKDAYS(AR_table[[#This Row],[due_date]],TODAY()))</f>
        <v>218</v>
      </c>
      <c r="G272" s="2" t="str">
        <f ca="1">VLOOKUP(AR_age_category!$F272,Table4[#All],2)</f>
        <v>&gt;90</v>
      </c>
    </row>
    <row r="273" spans="1:7" x14ac:dyDescent="0.3">
      <c r="A273" s="14" t="s">
        <v>263</v>
      </c>
      <c r="B273" s="4" t="s">
        <v>593</v>
      </c>
      <c r="C273" s="15">
        <v>45842</v>
      </c>
      <c r="D273" s="15">
        <f>WORKDAY(AR_age_category!$C273,$J$1)</f>
        <v>45884</v>
      </c>
      <c r="E273" s="16">
        <v>4123.71</v>
      </c>
      <c r="F273" s="21">
        <f ca="1">IF(AR_table[[#This Row],[due_date]]&gt;=TODAY(),0,NETWORKDAYS(AR_table[[#This Row],[due_date]],TODAY()))</f>
        <v>123</v>
      </c>
      <c r="G273" s="4" t="str">
        <f ca="1">VLOOKUP(AR_age_category!$F273,Table4[#All],2)</f>
        <v>&gt;90</v>
      </c>
    </row>
    <row r="274" spans="1:7" x14ac:dyDescent="0.3">
      <c r="A274" s="11" t="s">
        <v>264</v>
      </c>
      <c r="B274" s="2" t="s">
        <v>594</v>
      </c>
      <c r="C274" s="12">
        <v>46179</v>
      </c>
      <c r="D274" s="12">
        <f>WORKDAY(AR_age_category!$C274,$J$1)</f>
        <v>46220</v>
      </c>
      <c r="E274" s="13">
        <v>6281.96</v>
      </c>
      <c r="F274" s="21">
        <f ca="1">IF(AR_table[[#This Row],[due_date]]&gt;=TODAY(),0,NETWORKDAYS(AR_table[[#This Row],[due_date]],TODAY()))</f>
        <v>0</v>
      </c>
      <c r="G274" s="2" t="str">
        <f ca="1">VLOOKUP(AR_age_category!$F274,Table4[#All],2)</f>
        <v>Not due</v>
      </c>
    </row>
    <row r="275" spans="1:7" x14ac:dyDescent="0.3">
      <c r="A275" s="14" t="s">
        <v>265</v>
      </c>
      <c r="B275" s="4" t="s">
        <v>591</v>
      </c>
      <c r="C275" s="15">
        <v>45769</v>
      </c>
      <c r="D275" s="15">
        <f>WORKDAY(AR_age_category!$C275,$J$1)</f>
        <v>45811</v>
      </c>
      <c r="E275" s="16">
        <v>5969.43</v>
      </c>
      <c r="F275" s="21">
        <f ca="1">IF(AR_table[[#This Row],[due_date]]&gt;=TODAY(),0,NETWORKDAYS(AR_table[[#This Row],[due_date]],TODAY()))</f>
        <v>176</v>
      </c>
      <c r="G275" s="4" t="str">
        <f ca="1">VLOOKUP(AR_age_category!$F275,Table4[#All],2)</f>
        <v>&gt;90</v>
      </c>
    </row>
    <row r="276" spans="1:7" x14ac:dyDescent="0.3">
      <c r="A276" s="11" t="s">
        <v>266</v>
      </c>
      <c r="B276" s="2" t="s">
        <v>591</v>
      </c>
      <c r="C276" s="12">
        <v>46023</v>
      </c>
      <c r="D276" s="12">
        <f>WORKDAY(AR_age_category!$C276,$J$1)</f>
        <v>46065</v>
      </c>
      <c r="E276" s="13">
        <v>1704.24</v>
      </c>
      <c r="F276" s="21">
        <f ca="1">IF(AR_table[[#This Row],[due_date]]&gt;=TODAY(),0,NETWORKDAYS(AR_table[[#This Row],[due_date]],TODAY()))</f>
        <v>0</v>
      </c>
      <c r="G276" s="2" t="str">
        <f ca="1">VLOOKUP(AR_age_category!$F276,Table4[#All],2)</f>
        <v>Not due</v>
      </c>
    </row>
    <row r="277" spans="1:7" x14ac:dyDescent="0.3">
      <c r="A277" s="14" t="s">
        <v>267</v>
      </c>
      <c r="B277" s="4" t="s">
        <v>592</v>
      </c>
      <c r="C277" s="15">
        <v>46002</v>
      </c>
      <c r="D277" s="15">
        <f>WORKDAY(AR_age_category!$C277,$J$1)</f>
        <v>46044</v>
      </c>
      <c r="E277" s="16">
        <v>4385.67</v>
      </c>
      <c r="F277" s="21">
        <f ca="1">IF(AR_table[[#This Row],[due_date]]&gt;=TODAY(),0,NETWORKDAYS(AR_table[[#This Row],[due_date]],TODAY()))</f>
        <v>9</v>
      </c>
      <c r="G277" s="4" t="str">
        <f ca="1">VLOOKUP(AR_age_category!$F277,Table4[#All],2)</f>
        <v>1-30</v>
      </c>
    </row>
    <row r="278" spans="1:7" x14ac:dyDescent="0.3">
      <c r="A278" s="11" t="s">
        <v>268</v>
      </c>
      <c r="B278" s="2" t="s">
        <v>593</v>
      </c>
      <c r="C278" s="12">
        <v>45955</v>
      </c>
      <c r="D278" s="12">
        <f>WORKDAY(AR_age_category!$C278,$J$1)</f>
        <v>45996</v>
      </c>
      <c r="E278" s="13">
        <v>2115.17</v>
      </c>
      <c r="F278" s="21">
        <f ca="1">IF(AR_table[[#This Row],[due_date]]&gt;=TODAY(),0,NETWORKDAYS(AR_table[[#This Row],[due_date]],TODAY()))</f>
        <v>43</v>
      </c>
      <c r="G278" s="2" t="str">
        <f ca="1">VLOOKUP(AR_age_category!$F278,Table4[#All],2)</f>
        <v>31-60</v>
      </c>
    </row>
    <row r="279" spans="1:7" x14ac:dyDescent="0.3">
      <c r="A279" s="14" t="s">
        <v>269</v>
      </c>
      <c r="B279" s="4" t="s">
        <v>592</v>
      </c>
      <c r="C279" s="15">
        <v>46149</v>
      </c>
      <c r="D279" s="15">
        <f>WORKDAY(AR_age_category!$C279,$J$1)</f>
        <v>46191</v>
      </c>
      <c r="E279" s="16">
        <v>3323.86</v>
      </c>
      <c r="F279" s="21">
        <f ca="1">IF(AR_table[[#This Row],[due_date]]&gt;=TODAY(),0,NETWORKDAYS(AR_table[[#This Row],[due_date]],TODAY()))</f>
        <v>0</v>
      </c>
      <c r="G279" s="4" t="str">
        <f ca="1">VLOOKUP(AR_age_category!$F279,Table4[#All],2)</f>
        <v>Not due</v>
      </c>
    </row>
    <row r="280" spans="1:7" x14ac:dyDescent="0.3">
      <c r="A280" s="14" t="s">
        <v>270</v>
      </c>
      <c r="B280" s="4" t="s">
        <v>595</v>
      </c>
      <c r="C280" s="15">
        <v>45945</v>
      </c>
      <c r="D280" s="15">
        <f>WORKDAY(AR_age_category!$C280,$J$1)</f>
        <v>45987</v>
      </c>
      <c r="E280" s="16">
        <v>3609.1</v>
      </c>
      <c r="F280" s="21">
        <f ca="1">IF(AR_table[[#This Row],[due_date]]&gt;=TODAY(),0,NETWORKDAYS(AR_table[[#This Row],[due_date]],TODAY()))</f>
        <v>50</v>
      </c>
      <c r="G280" s="4" t="str">
        <f ca="1">VLOOKUP(AR_age_category!$F280,Table4[#All],2)</f>
        <v>31-60</v>
      </c>
    </row>
    <row r="281" spans="1:7" x14ac:dyDescent="0.3">
      <c r="A281" s="14" t="s">
        <v>271</v>
      </c>
      <c r="B281" s="4" t="s">
        <v>593</v>
      </c>
      <c r="C281" s="15">
        <v>46172</v>
      </c>
      <c r="D281" s="15">
        <f>WORKDAY(AR_age_category!$C281,$J$1)</f>
        <v>46213</v>
      </c>
      <c r="E281" s="16">
        <v>3470.79</v>
      </c>
      <c r="F281" s="21">
        <f ca="1">IF(AR_table[[#This Row],[due_date]]&gt;=TODAY(),0,NETWORKDAYS(AR_table[[#This Row],[due_date]],TODAY()))</f>
        <v>0</v>
      </c>
      <c r="G281" s="4" t="str">
        <f ca="1">VLOOKUP(AR_age_category!$F281,Table4[#All],2)</f>
        <v>Not due</v>
      </c>
    </row>
    <row r="282" spans="1:7" x14ac:dyDescent="0.3">
      <c r="A282" s="14" t="s">
        <v>272</v>
      </c>
      <c r="B282" s="4" t="s">
        <v>592</v>
      </c>
      <c r="C282" s="15">
        <v>45965</v>
      </c>
      <c r="D282" s="15">
        <f>WORKDAY(AR_age_category!$C282,$J$1)</f>
        <v>46007</v>
      </c>
      <c r="E282" s="16">
        <v>4991.91</v>
      </c>
      <c r="F282" s="21">
        <f ca="1">IF(AR_table[[#This Row],[due_date]]&gt;=TODAY(),0,NETWORKDAYS(AR_table[[#This Row],[due_date]],TODAY()))</f>
        <v>36</v>
      </c>
      <c r="G282" s="4" t="str">
        <f ca="1">VLOOKUP(AR_age_category!$F282,Table4[#All],2)</f>
        <v>31-60</v>
      </c>
    </row>
    <row r="283" spans="1:7" x14ac:dyDescent="0.3">
      <c r="A283" s="11" t="s">
        <v>273</v>
      </c>
      <c r="B283" s="2" t="s">
        <v>595</v>
      </c>
      <c r="C283" s="12">
        <v>45727</v>
      </c>
      <c r="D283" s="12">
        <f>WORKDAY(AR_age_category!$C283,$J$1)</f>
        <v>45769</v>
      </c>
      <c r="E283" s="13">
        <v>2777.5</v>
      </c>
      <c r="F283" s="21">
        <f ca="1">IF(AR_table[[#This Row],[due_date]]&gt;=TODAY(),0,NETWORKDAYS(AR_table[[#This Row],[due_date]],TODAY()))</f>
        <v>206</v>
      </c>
      <c r="G283" s="2" t="str">
        <f ca="1">VLOOKUP(AR_age_category!$F283,Table4[#All],2)</f>
        <v>&gt;90</v>
      </c>
    </row>
    <row r="284" spans="1:7" x14ac:dyDescent="0.3">
      <c r="A284" s="11" t="s">
        <v>274</v>
      </c>
      <c r="B284" s="2" t="s">
        <v>592</v>
      </c>
      <c r="C284" s="12">
        <v>45908</v>
      </c>
      <c r="D284" s="12">
        <f>WORKDAY(AR_age_category!$C284,$J$1)</f>
        <v>45950</v>
      </c>
      <c r="E284" s="13">
        <v>7106.93</v>
      </c>
      <c r="F284" s="21">
        <f ca="1">IF(AR_table[[#This Row],[due_date]]&gt;=TODAY(),0,NETWORKDAYS(AR_table[[#This Row],[due_date]],TODAY()))</f>
        <v>77</v>
      </c>
      <c r="G284" s="2" t="str">
        <f ca="1">VLOOKUP(AR_age_category!$F284,Table4[#All],2)</f>
        <v>61-90</v>
      </c>
    </row>
    <row r="285" spans="1:7" x14ac:dyDescent="0.3">
      <c r="A285" s="14" t="s">
        <v>275</v>
      </c>
      <c r="B285" s="4" t="s">
        <v>591</v>
      </c>
      <c r="C285" s="15">
        <v>45935</v>
      </c>
      <c r="D285" s="15">
        <f>WORKDAY(AR_age_category!$C285,$J$1)</f>
        <v>45975</v>
      </c>
      <c r="E285" s="16">
        <v>5137.3500000000004</v>
      </c>
      <c r="F285" s="21">
        <f ca="1">IF(AR_table[[#This Row],[due_date]]&gt;=TODAY(),0,NETWORKDAYS(AR_table[[#This Row],[due_date]],TODAY()))</f>
        <v>58</v>
      </c>
      <c r="G285" s="4" t="str">
        <f ca="1">VLOOKUP(AR_age_category!$F285,Table4[#All],2)</f>
        <v>31-60</v>
      </c>
    </row>
    <row r="286" spans="1:7" x14ac:dyDescent="0.3">
      <c r="A286" s="14" t="s">
        <v>276</v>
      </c>
      <c r="B286" s="4" t="s">
        <v>595</v>
      </c>
      <c r="C286" s="15">
        <v>45668</v>
      </c>
      <c r="D286" s="15">
        <f>WORKDAY(AR_age_category!$C286,$J$1)</f>
        <v>45709</v>
      </c>
      <c r="E286" s="16">
        <v>691.52</v>
      </c>
      <c r="F286" s="21">
        <f ca="1">IF(AR_table[[#This Row],[due_date]]&gt;=TODAY(),0,NETWORKDAYS(AR_table[[#This Row],[due_date]],TODAY()))</f>
        <v>248</v>
      </c>
      <c r="G286" s="4" t="str">
        <f ca="1">VLOOKUP(AR_age_category!$F286,Table4[#All],2)</f>
        <v>&gt;90</v>
      </c>
    </row>
    <row r="287" spans="1:7" x14ac:dyDescent="0.3">
      <c r="A287" s="11" t="s">
        <v>277</v>
      </c>
      <c r="B287" s="2" t="s">
        <v>592</v>
      </c>
      <c r="C287" s="12">
        <v>45998</v>
      </c>
      <c r="D287" s="12">
        <f>WORKDAY(AR_age_category!$C287,$J$1)</f>
        <v>46038</v>
      </c>
      <c r="E287" s="13">
        <v>4176.67</v>
      </c>
      <c r="F287" s="21">
        <f ca="1">IF(AR_table[[#This Row],[due_date]]&gt;=TODAY(),0,NETWORKDAYS(AR_table[[#This Row],[due_date]],TODAY()))</f>
        <v>13</v>
      </c>
      <c r="G287" s="2" t="str">
        <f ca="1">VLOOKUP(AR_age_category!$F287,Table4[#All],2)</f>
        <v>1-30</v>
      </c>
    </row>
    <row r="288" spans="1:7" x14ac:dyDescent="0.3">
      <c r="A288" s="14" t="s">
        <v>278</v>
      </c>
      <c r="B288" s="4" t="s">
        <v>595</v>
      </c>
      <c r="C288" s="15">
        <v>45804</v>
      </c>
      <c r="D288" s="15">
        <f>WORKDAY(AR_age_category!$C288,$J$1)</f>
        <v>45846</v>
      </c>
      <c r="E288" s="16">
        <v>1480.05</v>
      </c>
      <c r="F288" s="21">
        <f ca="1">IF(AR_table[[#This Row],[due_date]]&gt;=TODAY(),0,NETWORKDAYS(AR_table[[#This Row],[due_date]],TODAY()))</f>
        <v>151</v>
      </c>
      <c r="G288" s="4" t="str">
        <f ca="1">VLOOKUP(AR_age_category!$F288,Table4[#All],2)</f>
        <v>&gt;90</v>
      </c>
    </row>
    <row r="289" spans="1:7" x14ac:dyDescent="0.3">
      <c r="A289" s="11" t="s">
        <v>279</v>
      </c>
      <c r="B289" s="2" t="s">
        <v>592</v>
      </c>
      <c r="C289" s="12">
        <v>46159</v>
      </c>
      <c r="D289" s="12">
        <f>WORKDAY(AR_age_category!$C289,$J$1)</f>
        <v>46199</v>
      </c>
      <c r="E289" s="13">
        <v>6143.97</v>
      </c>
      <c r="F289" s="21">
        <f ca="1">IF(AR_table[[#This Row],[due_date]]&gt;=TODAY(),0,NETWORKDAYS(AR_table[[#This Row],[due_date]],TODAY()))</f>
        <v>0</v>
      </c>
      <c r="G289" s="2" t="str">
        <f ca="1">VLOOKUP(AR_age_category!$F289,Table4[#All],2)</f>
        <v>Not due</v>
      </c>
    </row>
    <row r="290" spans="1:7" x14ac:dyDescent="0.3">
      <c r="A290" s="14" t="s">
        <v>280</v>
      </c>
      <c r="B290" s="4" t="s">
        <v>594</v>
      </c>
      <c r="C290" s="15">
        <v>45694</v>
      </c>
      <c r="D290" s="15">
        <f>WORKDAY(AR_age_category!$C290,$J$1)</f>
        <v>45736</v>
      </c>
      <c r="E290" s="16">
        <v>6797.28</v>
      </c>
      <c r="F290" s="21">
        <f ca="1">IF(AR_table[[#This Row],[due_date]]&gt;=TODAY(),0,NETWORKDAYS(AR_table[[#This Row],[due_date]],TODAY()))</f>
        <v>229</v>
      </c>
      <c r="G290" s="4" t="str">
        <f ca="1">VLOOKUP(AR_age_category!$F290,Table4[#All],2)</f>
        <v>&gt;90</v>
      </c>
    </row>
    <row r="291" spans="1:7" x14ac:dyDescent="0.3">
      <c r="A291" s="11" t="s">
        <v>281</v>
      </c>
      <c r="B291" s="2" t="s">
        <v>595</v>
      </c>
      <c r="C291" s="12">
        <v>45737</v>
      </c>
      <c r="D291" s="12">
        <f>WORKDAY(AR_age_category!$C291,$J$1)</f>
        <v>45779</v>
      </c>
      <c r="E291" s="13">
        <v>7109.3</v>
      </c>
      <c r="F291" s="21">
        <f ca="1">IF(AR_table[[#This Row],[due_date]]&gt;=TODAY(),0,NETWORKDAYS(AR_table[[#This Row],[due_date]],TODAY()))</f>
        <v>198</v>
      </c>
      <c r="G291" s="2" t="str">
        <f ca="1">VLOOKUP(AR_age_category!$F291,Table4[#All],2)</f>
        <v>&gt;90</v>
      </c>
    </row>
    <row r="292" spans="1:7" x14ac:dyDescent="0.3">
      <c r="A292" s="14" t="s">
        <v>282</v>
      </c>
      <c r="B292" s="4" t="s">
        <v>595</v>
      </c>
      <c r="C292" s="15">
        <v>45824</v>
      </c>
      <c r="D292" s="15">
        <f>WORKDAY(AR_age_category!$C292,$J$1)</f>
        <v>45866</v>
      </c>
      <c r="E292" s="16">
        <v>783.4</v>
      </c>
      <c r="F292" s="21">
        <f ca="1">IF(AR_table[[#This Row],[due_date]]&gt;=TODAY(),0,NETWORKDAYS(AR_table[[#This Row],[due_date]],TODAY()))</f>
        <v>137</v>
      </c>
      <c r="G292" s="4" t="str">
        <f ca="1">VLOOKUP(AR_age_category!$F292,Table4[#All],2)</f>
        <v>&gt;90</v>
      </c>
    </row>
    <row r="293" spans="1:7" x14ac:dyDescent="0.3">
      <c r="A293" s="11" t="s">
        <v>283</v>
      </c>
      <c r="B293" s="2" t="s">
        <v>592</v>
      </c>
      <c r="C293" s="12">
        <v>46040</v>
      </c>
      <c r="D293" s="12">
        <f>WORKDAY(AR_age_category!$C293,$J$1)</f>
        <v>46080</v>
      </c>
      <c r="E293" s="13">
        <v>807.05</v>
      </c>
      <c r="F293" s="21">
        <f ca="1">IF(AR_table[[#This Row],[due_date]]&gt;=TODAY(),0,NETWORKDAYS(AR_table[[#This Row],[due_date]],TODAY()))</f>
        <v>0</v>
      </c>
      <c r="G293" s="2" t="str">
        <f ca="1">VLOOKUP(AR_age_category!$F293,Table4[#All],2)</f>
        <v>Not due</v>
      </c>
    </row>
    <row r="294" spans="1:7" x14ac:dyDescent="0.3">
      <c r="A294" s="11" t="s">
        <v>284</v>
      </c>
      <c r="B294" s="2" t="s">
        <v>593</v>
      </c>
      <c r="C294" s="12">
        <v>45758</v>
      </c>
      <c r="D294" s="12">
        <f>WORKDAY(AR_age_category!$C294,$J$1)</f>
        <v>45800</v>
      </c>
      <c r="E294" s="13">
        <v>7018.75</v>
      </c>
      <c r="F294" s="21">
        <f ca="1">IF(AR_table[[#This Row],[due_date]]&gt;=TODAY(),0,NETWORKDAYS(AR_table[[#This Row],[due_date]],TODAY()))</f>
        <v>183</v>
      </c>
      <c r="G294" s="2" t="str">
        <f ca="1">VLOOKUP(AR_age_category!$F294,Table4[#All],2)</f>
        <v>&gt;90</v>
      </c>
    </row>
    <row r="295" spans="1:7" x14ac:dyDescent="0.3">
      <c r="A295" s="11" t="s">
        <v>285</v>
      </c>
      <c r="B295" s="2" t="s">
        <v>591</v>
      </c>
      <c r="C295" s="12">
        <v>46157</v>
      </c>
      <c r="D295" s="12">
        <f>WORKDAY(AR_age_category!$C295,$J$1)</f>
        <v>46199</v>
      </c>
      <c r="E295" s="13">
        <v>2303.2399999999998</v>
      </c>
      <c r="F295" s="21">
        <f ca="1">IF(AR_table[[#This Row],[due_date]]&gt;=TODAY(),0,NETWORKDAYS(AR_table[[#This Row],[due_date]],TODAY()))</f>
        <v>0</v>
      </c>
      <c r="G295" s="2" t="str">
        <f ca="1">VLOOKUP(AR_age_category!$F295,Table4[#All],2)</f>
        <v>Not due</v>
      </c>
    </row>
    <row r="296" spans="1:7" x14ac:dyDescent="0.3">
      <c r="A296" s="14" t="s">
        <v>286</v>
      </c>
      <c r="B296" s="4" t="s">
        <v>591</v>
      </c>
      <c r="C296" s="15">
        <v>45930</v>
      </c>
      <c r="D296" s="15">
        <f>WORKDAY(AR_age_category!$C296,$J$1)</f>
        <v>45972</v>
      </c>
      <c r="E296" s="16">
        <v>2906.05</v>
      </c>
      <c r="F296" s="21">
        <f ca="1">IF(AR_table[[#This Row],[due_date]]&gt;=TODAY(),0,NETWORKDAYS(AR_table[[#This Row],[due_date]],TODAY()))</f>
        <v>61</v>
      </c>
      <c r="G296" s="4" t="str">
        <f ca="1">VLOOKUP(AR_age_category!$F296,Table4[#All],2)</f>
        <v>61-90</v>
      </c>
    </row>
    <row r="297" spans="1:7" x14ac:dyDescent="0.3">
      <c r="A297" s="14" t="s">
        <v>287</v>
      </c>
      <c r="B297" s="4" t="s">
        <v>594</v>
      </c>
      <c r="C297" s="15">
        <v>46021</v>
      </c>
      <c r="D297" s="15">
        <f>WORKDAY(AR_age_category!$C297,$J$1)</f>
        <v>46063</v>
      </c>
      <c r="E297" s="16">
        <v>4561.8999999999996</v>
      </c>
      <c r="F297" s="21">
        <f ca="1">IF(AR_table[[#This Row],[due_date]]&gt;=TODAY(),0,NETWORKDAYS(AR_table[[#This Row],[due_date]],TODAY()))</f>
        <v>0</v>
      </c>
      <c r="G297" s="4" t="str">
        <f ca="1">VLOOKUP(AR_age_category!$F297,Table4[#All],2)</f>
        <v>Not due</v>
      </c>
    </row>
    <row r="298" spans="1:7" x14ac:dyDescent="0.3">
      <c r="A298" s="11" t="s">
        <v>288</v>
      </c>
      <c r="B298" s="2" t="s">
        <v>591</v>
      </c>
      <c r="C298" s="12">
        <v>45792</v>
      </c>
      <c r="D298" s="12">
        <f>WORKDAY(AR_age_category!$C298,$J$1)</f>
        <v>45834</v>
      </c>
      <c r="E298" s="13">
        <v>6920.67</v>
      </c>
      <c r="F298" s="21">
        <f ca="1">IF(AR_table[[#This Row],[due_date]]&gt;=TODAY(),0,NETWORKDAYS(AR_table[[#This Row],[due_date]],TODAY()))</f>
        <v>159</v>
      </c>
      <c r="G298" s="2" t="str">
        <f ca="1">VLOOKUP(AR_age_category!$F298,Table4[#All],2)</f>
        <v>&gt;90</v>
      </c>
    </row>
    <row r="299" spans="1:7" x14ac:dyDescent="0.3">
      <c r="A299" s="14" t="s">
        <v>289</v>
      </c>
      <c r="B299" s="4" t="s">
        <v>594</v>
      </c>
      <c r="C299" s="15">
        <v>45813</v>
      </c>
      <c r="D299" s="15">
        <f>WORKDAY(AR_age_category!$C299,$J$1)</f>
        <v>45855</v>
      </c>
      <c r="E299" s="16">
        <v>1154.44</v>
      </c>
      <c r="F299" s="21">
        <f ca="1">IF(AR_table[[#This Row],[due_date]]&gt;=TODAY(),0,NETWORKDAYS(AR_table[[#This Row],[due_date]],TODAY()))</f>
        <v>144</v>
      </c>
      <c r="G299" s="4" t="str">
        <f ca="1">VLOOKUP(AR_age_category!$F299,Table4[#All],2)</f>
        <v>&gt;90</v>
      </c>
    </row>
    <row r="300" spans="1:7" x14ac:dyDescent="0.3">
      <c r="A300" s="14" t="s">
        <v>290</v>
      </c>
      <c r="B300" s="4" t="s">
        <v>595</v>
      </c>
      <c r="C300" s="15">
        <v>45925</v>
      </c>
      <c r="D300" s="15">
        <f>WORKDAY(AR_age_category!$C300,$J$1)</f>
        <v>45967</v>
      </c>
      <c r="E300" s="16">
        <v>2374.91</v>
      </c>
      <c r="F300" s="21">
        <f ca="1">IF(AR_table[[#This Row],[due_date]]&gt;=TODAY(),0,NETWORKDAYS(AR_table[[#This Row],[due_date]],TODAY()))</f>
        <v>64</v>
      </c>
      <c r="G300" s="4" t="str">
        <f ca="1">VLOOKUP(AR_age_category!$F300,Table4[#All],2)</f>
        <v>61-90</v>
      </c>
    </row>
    <row r="301" spans="1:7" x14ac:dyDescent="0.3">
      <c r="A301" s="11" t="s">
        <v>291</v>
      </c>
      <c r="B301" s="2" t="s">
        <v>591</v>
      </c>
      <c r="C301" s="12">
        <v>45908</v>
      </c>
      <c r="D301" s="12">
        <f>WORKDAY(AR_age_category!$C301,$J$1)</f>
        <v>45950</v>
      </c>
      <c r="E301" s="13">
        <v>2984.83</v>
      </c>
      <c r="F301" s="21">
        <f ca="1">IF(AR_table[[#This Row],[due_date]]&gt;=TODAY(),0,NETWORKDAYS(AR_table[[#This Row],[due_date]],TODAY()))</f>
        <v>77</v>
      </c>
      <c r="G301" s="2" t="str">
        <f ca="1">VLOOKUP(AR_age_category!$F301,Table4[#All],2)</f>
        <v>61-90</v>
      </c>
    </row>
    <row r="302" spans="1:7" x14ac:dyDescent="0.3">
      <c r="A302" s="14" t="s">
        <v>292</v>
      </c>
      <c r="B302" s="4" t="s">
        <v>593</v>
      </c>
      <c r="C302" s="15">
        <v>45736</v>
      </c>
      <c r="D302" s="15">
        <f>WORKDAY(AR_age_category!$C302,$J$1)</f>
        <v>45778</v>
      </c>
      <c r="E302" s="16">
        <v>5377.36</v>
      </c>
      <c r="F302" s="21">
        <f ca="1">IF(AR_table[[#This Row],[due_date]]&gt;=TODAY(),0,NETWORKDAYS(AR_table[[#This Row],[due_date]],TODAY()))</f>
        <v>199</v>
      </c>
      <c r="G302" s="4" t="str">
        <f ca="1">VLOOKUP(AR_age_category!$F302,Table4[#All],2)</f>
        <v>&gt;90</v>
      </c>
    </row>
    <row r="303" spans="1:7" x14ac:dyDescent="0.3">
      <c r="A303" s="11" t="s">
        <v>293</v>
      </c>
      <c r="B303" s="2" t="s">
        <v>593</v>
      </c>
      <c r="C303" s="12">
        <v>45933</v>
      </c>
      <c r="D303" s="12">
        <f>WORKDAY(AR_age_category!$C303,$J$1)</f>
        <v>45975</v>
      </c>
      <c r="E303" s="13">
        <v>4366.74</v>
      </c>
      <c r="F303" s="21">
        <f ca="1">IF(AR_table[[#This Row],[due_date]]&gt;=TODAY(),0,NETWORKDAYS(AR_table[[#This Row],[due_date]],TODAY()))</f>
        <v>58</v>
      </c>
      <c r="G303" s="2" t="str">
        <f ca="1">VLOOKUP(AR_age_category!$F303,Table4[#All],2)</f>
        <v>31-60</v>
      </c>
    </row>
    <row r="304" spans="1:7" x14ac:dyDescent="0.3">
      <c r="A304" s="14" t="s">
        <v>294</v>
      </c>
      <c r="B304" s="4" t="s">
        <v>593</v>
      </c>
      <c r="C304" s="15">
        <v>45688</v>
      </c>
      <c r="D304" s="15">
        <f>WORKDAY(AR_age_category!$C304,$J$1)</f>
        <v>45730</v>
      </c>
      <c r="E304" s="16">
        <v>2198.7600000000002</v>
      </c>
      <c r="F304" s="21">
        <f ca="1">IF(AR_table[[#This Row],[due_date]]&gt;=TODAY(),0,NETWORKDAYS(AR_table[[#This Row],[due_date]],TODAY()))</f>
        <v>233</v>
      </c>
      <c r="G304" s="4" t="str">
        <f ca="1">VLOOKUP(AR_age_category!$F304,Table4[#All],2)</f>
        <v>&gt;90</v>
      </c>
    </row>
    <row r="305" spans="1:7" x14ac:dyDescent="0.3">
      <c r="A305" s="11" t="s">
        <v>295</v>
      </c>
      <c r="B305" s="2" t="s">
        <v>591</v>
      </c>
      <c r="C305" s="12">
        <v>45842</v>
      </c>
      <c r="D305" s="12">
        <f>WORKDAY(AR_age_category!$C305,$J$1)</f>
        <v>45884</v>
      </c>
      <c r="E305" s="13">
        <v>2079.5700000000002</v>
      </c>
      <c r="F305" s="21">
        <f ca="1">IF(AR_table[[#This Row],[due_date]]&gt;=TODAY(),0,NETWORKDAYS(AR_table[[#This Row],[due_date]],TODAY()))</f>
        <v>123</v>
      </c>
      <c r="G305" s="2" t="str">
        <f ca="1">VLOOKUP(AR_age_category!$F305,Table4[#All],2)</f>
        <v>&gt;90</v>
      </c>
    </row>
    <row r="306" spans="1:7" x14ac:dyDescent="0.3">
      <c r="A306" s="14" t="s">
        <v>296</v>
      </c>
      <c r="B306" s="4" t="s">
        <v>595</v>
      </c>
      <c r="C306" s="15">
        <v>45760</v>
      </c>
      <c r="D306" s="15">
        <f>WORKDAY(AR_age_category!$C306,$J$1)</f>
        <v>45800</v>
      </c>
      <c r="E306" s="16">
        <v>6720.98</v>
      </c>
      <c r="F306" s="21">
        <f ca="1">IF(AR_table[[#This Row],[due_date]]&gt;=TODAY(),0,NETWORKDAYS(AR_table[[#This Row],[due_date]],TODAY()))</f>
        <v>183</v>
      </c>
      <c r="G306" s="4" t="str">
        <f ca="1">VLOOKUP(AR_age_category!$F306,Table4[#All],2)</f>
        <v>&gt;90</v>
      </c>
    </row>
    <row r="307" spans="1:7" x14ac:dyDescent="0.3">
      <c r="A307" s="11" t="s">
        <v>297</v>
      </c>
      <c r="B307" s="2" t="s">
        <v>593</v>
      </c>
      <c r="C307" s="12">
        <v>45882</v>
      </c>
      <c r="D307" s="12">
        <f>WORKDAY(AR_age_category!$C307,$J$1)</f>
        <v>45924</v>
      </c>
      <c r="E307" s="13">
        <v>1057.5899999999999</v>
      </c>
      <c r="F307" s="21">
        <f ca="1">IF(AR_table[[#This Row],[due_date]]&gt;=TODAY(),0,NETWORKDAYS(AR_table[[#This Row],[due_date]],TODAY()))</f>
        <v>95</v>
      </c>
      <c r="G307" s="2" t="str">
        <f ca="1">VLOOKUP(AR_age_category!$F307,Table4[#All],2)</f>
        <v>&gt;90</v>
      </c>
    </row>
    <row r="308" spans="1:7" x14ac:dyDescent="0.3">
      <c r="A308" s="11" t="s">
        <v>298</v>
      </c>
      <c r="B308" s="2" t="s">
        <v>592</v>
      </c>
      <c r="C308" s="12">
        <v>45851</v>
      </c>
      <c r="D308" s="12">
        <f>WORKDAY(AR_age_category!$C308,$J$1)</f>
        <v>45891</v>
      </c>
      <c r="E308" s="13">
        <v>5123.8599999999997</v>
      </c>
      <c r="F308" s="21">
        <f ca="1">IF(AR_table[[#This Row],[due_date]]&gt;=TODAY(),0,NETWORKDAYS(AR_table[[#This Row],[due_date]],TODAY()))</f>
        <v>118</v>
      </c>
      <c r="G308" s="2" t="str">
        <f ca="1">VLOOKUP(AR_age_category!$F308,Table4[#All],2)</f>
        <v>&gt;90</v>
      </c>
    </row>
    <row r="309" spans="1:7" x14ac:dyDescent="0.3">
      <c r="A309" s="14" t="s">
        <v>299</v>
      </c>
      <c r="B309" s="4" t="s">
        <v>591</v>
      </c>
      <c r="C309" s="15">
        <v>45664</v>
      </c>
      <c r="D309" s="15">
        <f>WORKDAY(AR_age_category!$C309,$J$1)</f>
        <v>45706</v>
      </c>
      <c r="E309" s="16">
        <v>6519.59</v>
      </c>
      <c r="F309" s="21">
        <f ca="1">IF(AR_table[[#This Row],[due_date]]&gt;=TODAY(),0,NETWORKDAYS(AR_table[[#This Row],[due_date]],TODAY()))</f>
        <v>251</v>
      </c>
      <c r="G309" s="4" t="str">
        <f ca="1">VLOOKUP(AR_age_category!$F309,Table4[#All],2)</f>
        <v>&gt;90</v>
      </c>
    </row>
    <row r="310" spans="1:7" x14ac:dyDescent="0.3">
      <c r="A310" s="14" t="s">
        <v>300</v>
      </c>
      <c r="B310" s="4" t="s">
        <v>595</v>
      </c>
      <c r="C310" s="15">
        <v>45768</v>
      </c>
      <c r="D310" s="15">
        <f>WORKDAY(AR_age_category!$C310,$J$1)</f>
        <v>45810</v>
      </c>
      <c r="E310" s="16">
        <v>1797.3</v>
      </c>
      <c r="F310" s="21">
        <f ca="1">IF(AR_table[[#This Row],[due_date]]&gt;=TODAY(),0,NETWORKDAYS(AR_table[[#This Row],[due_date]],TODAY()))</f>
        <v>177</v>
      </c>
      <c r="G310" s="4" t="str">
        <f ca="1">VLOOKUP(AR_age_category!$F310,Table4[#All],2)</f>
        <v>&gt;90</v>
      </c>
    </row>
    <row r="311" spans="1:7" x14ac:dyDescent="0.3">
      <c r="A311" s="11" t="s">
        <v>301</v>
      </c>
      <c r="B311" s="2" t="s">
        <v>595</v>
      </c>
      <c r="C311" s="12">
        <v>45767</v>
      </c>
      <c r="D311" s="12">
        <f>WORKDAY(AR_age_category!$C311,$J$1)</f>
        <v>45807</v>
      </c>
      <c r="E311" s="13">
        <v>1445.51</v>
      </c>
      <c r="F311" s="21">
        <f ca="1">IF(AR_table[[#This Row],[due_date]]&gt;=TODAY(),0,NETWORKDAYS(AR_table[[#This Row],[due_date]],TODAY()))</f>
        <v>178</v>
      </c>
      <c r="G311" s="2" t="str">
        <f ca="1">VLOOKUP(AR_age_category!$F311,Table4[#All],2)</f>
        <v>&gt;90</v>
      </c>
    </row>
    <row r="312" spans="1:7" x14ac:dyDescent="0.3">
      <c r="A312" s="14" t="s">
        <v>302</v>
      </c>
      <c r="B312" s="4" t="s">
        <v>595</v>
      </c>
      <c r="C312" s="15">
        <v>46088</v>
      </c>
      <c r="D312" s="15">
        <f>WORKDAY(AR_age_category!$C312,$J$1)</f>
        <v>46129</v>
      </c>
      <c r="E312" s="16">
        <v>5287.65</v>
      </c>
      <c r="F312" s="21">
        <f ca="1">IF(AR_table[[#This Row],[due_date]]&gt;=TODAY(),0,NETWORKDAYS(AR_table[[#This Row],[due_date]],TODAY()))</f>
        <v>0</v>
      </c>
      <c r="G312" s="4" t="str">
        <f ca="1">VLOOKUP(AR_age_category!$F312,Table4[#All],2)</f>
        <v>Not due</v>
      </c>
    </row>
    <row r="313" spans="1:7" x14ac:dyDescent="0.3">
      <c r="A313" s="11" t="s">
        <v>303</v>
      </c>
      <c r="B313" s="2" t="s">
        <v>592</v>
      </c>
      <c r="C313" s="12">
        <v>45708</v>
      </c>
      <c r="D313" s="12">
        <f>WORKDAY(AR_age_category!$C313,$J$1)</f>
        <v>45750</v>
      </c>
      <c r="E313" s="13">
        <v>6849.97</v>
      </c>
      <c r="F313" s="21">
        <f ca="1">IF(AR_table[[#This Row],[due_date]]&gt;=TODAY(),0,NETWORKDAYS(AR_table[[#This Row],[due_date]],TODAY()))</f>
        <v>219</v>
      </c>
      <c r="G313" s="2" t="str">
        <f ca="1">VLOOKUP(AR_age_category!$F313,Table4[#All],2)</f>
        <v>&gt;90</v>
      </c>
    </row>
    <row r="314" spans="1:7" x14ac:dyDescent="0.3">
      <c r="A314" s="14" t="s">
        <v>304</v>
      </c>
      <c r="B314" s="4" t="s">
        <v>592</v>
      </c>
      <c r="C314" s="15">
        <v>45690</v>
      </c>
      <c r="D314" s="15">
        <f>WORKDAY(AR_age_category!$C314,$J$1)</f>
        <v>45730</v>
      </c>
      <c r="E314" s="16">
        <v>3057.81</v>
      </c>
      <c r="F314" s="21">
        <f ca="1">IF(AR_table[[#This Row],[due_date]]&gt;=TODAY(),0,NETWORKDAYS(AR_table[[#This Row],[due_date]],TODAY()))</f>
        <v>233</v>
      </c>
      <c r="G314" s="4" t="str">
        <f ca="1">VLOOKUP(AR_age_category!$F314,Table4[#All],2)</f>
        <v>&gt;90</v>
      </c>
    </row>
    <row r="315" spans="1:7" x14ac:dyDescent="0.3">
      <c r="A315" s="11" t="s">
        <v>305</v>
      </c>
      <c r="B315" s="2" t="s">
        <v>593</v>
      </c>
      <c r="C315" s="12">
        <v>45829</v>
      </c>
      <c r="D315" s="12">
        <f>WORKDAY(AR_age_category!$C315,$J$1)</f>
        <v>45870</v>
      </c>
      <c r="E315" s="13">
        <v>5406.93</v>
      </c>
      <c r="F315" s="21">
        <f ca="1">IF(AR_table[[#This Row],[due_date]]&gt;=TODAY(),0,NETWORKDAYS(AR_table[[#This Row],[due_date]],TODAY()))</f>
        <v>133</v>
      </c>
      <c r="G315" s="2" t="str">
        <f ca="1">VLOOKUP(AR_age_category!$F315,Table4[#All],2)</f>
        <v>&gt;90</v>
      </c>
    </row>
    <row r="316" spans="1:7" x14ac:dyDescent="0.3">
      <c r="A316" s="14" t="s">
        <v>306</v>
      </c>
      <c r="B316" s="4" t="s">
        <v>591</v>
      </c>
      <c r="C316" s="15">
        <v>45982</v>
      </c>
      <c r="D316" s="15">
        <f>WORKDAY(AR_age_category!$C316,$J$1)</f>
        <v>46024</v>
      </c>
      <c r="E316" s="16">
        <v>6854.97</v>
      </c>
      <c r="F316" s="21">
        <f ca="1">IF(AR_table[[#This Row],[due_date]]&gt;=TODAY(),0,NETWORKDAYS(AR_table[[#This Row],[due_date]],TODAY()))</f>
        <v>23</v>
      </c>
      <c r="G316" s="4" t="str">
        <f ca="1">VLOOKUP(AR_age_category!$F316,Table4[#All],2)</f>
        <v>1-30</v>
      </c>
    </row>
    <row r="317" spans="1:7" x14ac:dyDescent="0.3">
      <c r="A317" s="14" t="s">
        <v>307</v>
      </c>
      <c r="B317" s="4" t="s">
        <v>595</v>
      </c>
      <c r="C317" s="15">
        <v>45756</v>
      </c>
      <c r="D317" s="15">
        <f>WORKDAY(AR_age_category!$C317,$J$1)</f>
        <v>45798</v>
      </c>
      <c r="E317" s="16">
        <v>2494.5300000000002</v>
      </c>
      <c r="F317" s="21">
        <f ca="1">IF(AR_table[[#This Row],[due_date]]&gt;=TODAY(),0,NETWORKDAYS(AR_table[[#This Row],[due_date]],TODAY()))</f>
        <v>185</v>
      </c>
      <c r="G317" s="4" t="str">
        <f ca="1">VLOOKUP(AR_age_category!$F317,Table4[#All],2)</f>
        <v>&gt;90</v>
      </c>
    </row>
    <row r="318" spans="1:7" x14ac:dyDescent="0.3">
      <c r="A318" s="11" t="s">
        <v>308</v>
      </c>
      <c r="B318" s="2" t="s">
        <v>591</v>
      </c>
      <c r="C318" s="12">
        <v>45759</v>
      </c>
      <c r="D318" s="12">
        <f>WORKDAY(AR_age_category!$C318,$J$1)</f>
        <v>45800</v>
      </c>
      <c r="E318" s="13">
        <v>3610.15</v>
      </c>
      <c r="F318" s="21">
        <f ca="1">IF(AR_table[[#This Row],[due_date]]&gt;=TODAY(),0,NETWORKDAYS(AR_table[[#This Row],[due_date]],TODAY()))</f>
        <v>183</v>
      </c>
      <c r="G318" s="2" t="str">
        <f ca="1">VLOOKUP(AR_age_category!$F318,Table4[#All],2)</f>
        <v>&gt;90</v>
      </c>
    </row>
    <row r="319" spans="1:7" x14ac:dyDescent="0.3">
      <c r="A319" s="11" t="s">
        <v>309</v>
      </c>
      <c r="B319" s="2" t="s">
        <v>594</v>
      </c>
      <c r="C319" s="12">
        <v>45736</v>
      </c>
      <c r="D319" s="12">
        <f>WORKDAY(AR_age_category!$C319,$J$1)</f>
        <v>45778</v>
      </c>
      <c r="E319" s="13">
        <v>2866.83</v>
      </c>
      <c r="F319" s="21">
        <f ca="1">IF(AR_table[[#This Row],[due_date]]&gt;=TODAY(),0,NETWORKDAYS(AR_table[[#This Row],[due_date]],TODAY()))</f>
        <v>199</v>
      </c>
      <c r="G319" s="2" t="str">
        <f ca="1">VLOOKUP(AR_age_category!$F319,Table4[#All],2)</f>
        <v>&gt;90</v>
      </c>
    </row>
    <row r="320" spans="1:7" x14ac:dyDescent="0.3">
      <c r="A320" s="14" t="s">
        <v>310</v>
      </c>
      <c r="B320" s="4" t="s">
        <v>595</v>
      </c>
      <c r="C320" s="15">
        <v>45975</v>
      </c>
      <c r="D320" s="15">
        <f>WORKDAY(AR_age_category!$C320,$J$1)</f>
        <v>46017</v>
      </c>
      <c r="E320" s="16">
        <v>6939.15</v>
      </c>
      <c r="F320" s="21">
        <f ca="1">IF(AR_table[[#This Row],[due_date]]&gt;=TODAY(),0,NETWORKDAYS(AR_table[[#This Row],[due_date]],TODAY()))</f>
        <v>28</v>
      </c>
      <c r="G320" s="4" t="str">
        <f ca="1">VLOOKUP(AR_age_category!$F320,Table4[#All],2)</f>
        <v>1-30</v>
      </c>
    </row>
    <row r="321" spans="1:7" x14ac:dyDescent="0.3">
      <c r="A321" s="11" t="s">
        <v>311</v>
      </c>
      <c r="B321" s="2" t="s">
        <v>594</v>
      </c>
      <c r="C321" s="12">
        <v>45694</v>
      </c>
      <c r="D321" s="12">
        <f>WORKDAY(AR_age_category!$C321,$J$1)</f>
        <v>45736</v>
      </c>
      <c r="E321" s="13">
        <v>2509.56</v>
      </c>
      <c r="F321" s="21">
        <f ca="1">IF(AR_table[[#This Row],[due_date]]&gt;=TODAY(),0,NETWORKDAYS(AR_table[[#This Row],[due_date]],TODAY()))</f>
        <v>229</v>
      </c>
      <c r="G321" s="2" t="str">
        <f ca="1">VLOOKUP(AR_age_category!$F321,Table4[#All],2)</f>
        <v>&gt;90</v>
      </c>
    </row>
    <row r="322" spans="1:7" x14ac:dyDescent="0.3">
      <c r="A322" s="11" t="s">
        <v>312</v>
      </c>
      <c r="B322" s="2" t="s">
        <v>595</v>
      </c>
      <c r="C322" s="12">
        <v>45795</v>
      </c>
      <c r="D322" s="12">
        <f>WORKDAY(AR_age_category!$C322,$J$1)</f>
        <v>45835</v>
      </c>
      <c r="E322" s="13">
        <v>1370.41</v>
      </c>
      <c r="F322" s="21">
        <f ca="1">IF(AR_table[[#This Row],[due_date]]&gt;=TODAY(),0,NETWORKDAYS(AR_table[[#This Row],[due_date]],TODAY()))</f>
        <v>158</v>
      </c>
      <c r="G322" s="2" t="str">
        <f ca="1">VLOOKUP(AR_age_category!$F322,Table4[#All],2)</f>
        <v>&gt;90</v>
      </c>
    </row>
    <row r="323" spans="1:7" x14ac:dyDescent="0.3">
      <c r="A323" s="14" t="s">
        <v>313</v>
      </c>
      <c r="B323" s="4" t="s">
        <v>591</v>
      </c>
      <c r="C323" s="15">
        <v>46072</v>
      </c>
      <c r="D323" s="15">
        <f>WORKDAY(AR_age_category!$C323,$J$1)</f>
        <v>46114</v>
      </c>
      <c r="E323" s="16">
        <v>4623.54</v>
      </c>
      <c r="F323" s="21">
        <f ca="1">IF(AR_table[[#This Row],[due_date]]&gt;=TODAY(),0,NETWORKDAYS(AR_table[[#This Row],[due_date]],TODAY()))</f>
        <v>0</v>
      </c>
      <c r="G323" s="4" t="str">
        <f ca="1">VLOOKUP(AR_age_category!$F323,Table4[#All],2)</f>
        <v>Not due</v>
      </c>
    </row>
    <row r="324" spans="1:7" x14ac:dyDescent="0.3">
      <c r="A324" s="11" t="s">
        <v>314</v>
      </c>
      <c r="B324" s="2" t="s">
        <v>595</v>
      </c>
      <c r="C324" s="12">
        <v>45873</v>
      </c>
      <c r="D324" s="12">
        <f>WORKDAY(AR_age_category!$C324,$J$1)</f>
        <v>45915</v>
      </c>
      <c r="E324" s="13">
        <v>5313.37</v>
      </c>
      <c r="F324" s="21">
        <f ca="1">IF(AR_table[[#This Row],[due_date]]&gt;=TODAY(),0,NETWORKDAYS(AR_table[[#This Row],[due_date]],TODAY()))</f>
        <v>102</v>
      </c>
      <c r="G324" s="2" t="str">
        <f ca="1">VLOOKUP(AR_age_category!$F324,Table4[#All],2)</f>
        <v>&gt;90</v>
      </c>
    </row>
    <row r="325" spans="1:7" x14ac:dyDescent="0.3">
      <c r="A325" s="11" t="s">
        <v>315</v>
      </c>
      <c r="B325" s="2" t="s">
        <v>593</v>
      </c>
      <c r="C325" s="12">
        <v>45963</v>
      </c>
      <c r="D325" s="12">
        <f>WORKDAY(AR_age_category!$C325,$J$1)</f>
        <v>46003</v>
      </c>
      <c r="E325" s="13">
        <v>6434.44</v>
      </c>
      <c r="F325" s="21">
        <f ca="1">IF(AR_table[[#This Row],[due_date]]&gt;=TODAY(),0,NETWORKDAYS(AR_table[[#This Row],[due_date]],TODAY()))</f>
        <v>38</v>
      </c>
      <c r="G325" s="2" t="str">
        <f ca="1">VLOOKUP(AR_age_category!$F325,Table4[#All],2)</f>
        <v>31-60</v>
      </c>
    </row>
    <row r="326" spans="1:7" x14ac:dyDescent="0.3">
      <c r="A326" s="14" t="s">
        <v>316</v>
      </c>
      <c r="B326" s="4" t="s">
        <v>593</v>
      </c>
      <c r="C326" s="15">
        <v>45822</v>
      </c>
      <c r="D326" s="15">
        <f>WORKDAY(AR_age_category!$C326,$J$1)</f>
        <v>45863</v>
      </c>
      <c r="E326" s="16">
        <v>2742.6</v>
      </c>
      <c r="F326" s="21">
        <f ca="1">IF(AR_table[[#This Row],[due_date]]&gt;=TODAY(),0,NETWORKDAYS(AR_table[[#This Row],[due_date]],TODAY()))</f>
        <v>138</v>
      </c>
      <c r="G326" s="4" t="str">
        <f ca="1">VLOOKUP(AR_age_category!$F326,Table4[#All],2)</f>
        <v>&gt;90</v>
      </c>
    </row>
    <row r="327" spans="1:7" x14ac:dyDescent="0.3">
      <c r="A327" s="11" t="s">
        <v>317</v>
      </c>
      <c r="B327" s="2" t="s">
        <v>595</v>
      </c>
      <c r="C327" s="12">
        <v>45965</v>
      </c>
      <c r="D327" s="12">
        <f>WORKDAY(AR_age_category!$C327,$J$1)</f>
        <v>46007</v>
      </c>
      <c r="E327" s="13">
        <v>2495.48</v>
      </c>
      <c r="F327" s="21">
        <f ca="1">IF(AR_table[[#This Row],[due_date]]&gt;=TODAY(),0,NETWORKDAYS(AR_table[[#This Row],[due_date]],TODAY()))</f>
        <v>36</v>
      </c>
      <c r="G327" s="2" t="str">
        <f ca="1">VLOOKUP(AR_age_category!$F327,Table4[#All],2)</f>
        <v>31-60</v>
      </c>
    </row>
    <row r="328" spans="1:7" x14ac:dyDescent="0.3">
      <c r="A328" s="11" t="s">
        <v>318</v>
      </c>
      <c r="B328" s="2" t="s">
        <v>592</v>
      </c>
      <c r="C328" s="12">
        <v>45760</v>
      </c>
      <c r="D328" s="12">
        <f>WORKDAY(AR_age_category!$C328,$J$1)</f>
        <v>45800</v>
      </c>
      <c r="E328" s="13">
        <v>2137.89</v>
      </c>
      <c r="F328" s="21">
        <f ca="1">IF(AR_table[[#This Row],[due_date]]&gt;=TODAY(),0,NETWORKDAYS(AR_table[[#This Row],[due_date]],TODAY()))</f>
        <v>183</v>
      </c>
      <c r="G328" s="2" t="str">
        <f ca="1">VLOOKUP(AR_age_category!$F328,Table4[#All],2)</f>
        <v>&gt;90</v>
      </c>
    </row>
    <row r="329" spans="1:7" x14ac:dyDescent="0.3">
      <c r="A329" s="14" t="s">
        <v>319</v>
      </c>
      <c r="B329" s="4" t="s">
        <v>594</v>
      </c>
      <c r="C329" s="15">
        <v>45664</v>
      </c>
      <c r="D329" s="15">
        <f>WORKDAY(AR_age_category!$C329,$J$1)</f>
        <v>45706</v>
      </c>
      <c r="E329" s="16">
        <v>6435.43</v>
      </c>
      <c r="F329" s="21">
        <f ca="1">IF(AR_table[[#This Row],[due_date]]&gt;=TODAY(),0,NETWORKDAYS(AR_table[[#This Row],[due_date]],TODAY()))</f>
        <v>251</v>
      </c>
      <c r="G329" s="4" t="str">
        <f ca="1">VLOOKUP(AR_age_category!$F329,Table4[#All],2)</f>
        <v>&gt;90</v>
      </c>
    </row>
    <row r="330" spans="1:7" x14ac:dyDescent="0.3">
      <c r="A330" s="11" t="s">
        <v>320</v>
      </c>
      <c r="B330" s="2" t="s">
        <v>592</v>
      </c>
      <c r="C330" s="12">
        <v>45925</v>
      </c>
      <c r="D330" s="12">
        <f>WORKDAY(AR_age_category!$C330,$J$1)</f>
        <v>45967</v>
      </c>
      <c r="E330" s="13">
        <v>1273.69</v>
      </c>
      <c r="F330" s="21">
        <f ca="1">IF(AR_table[[#This Row],[due_date]]&gt;=TODAY(),0,NETWORKDAYS(AR_table[[#This Row],[due_date]],TODAY()))</f>
        <v>64</v>
      </c>
      <c r="G330" s="2" t="str">
        <f ca="1">VLOOKUP(AR_age_category!$F330,Table4[#All],2)</f>
        <v>61-90</v>
      </c>
    </row>
    <row r="331" spans="1:7" x14ac:dyDescent="0.3">
      <c r="A331" s="14" t="s">
        <v>321</v>
      </c>
      <c r="B331" s="4" t="s">
        <v>591</v>
      </c>
      <c r="C331" s="15">
        <v>46148</v>
      </c>
      <c r="D331" s="15">
        <f>WORKDAY(AR_age_category!$C331,$J$1)</f>
        <v>46190</v>
      </c>
      <c r="E331" s="16">
        <v>5055.62</v>
      </c>
      <c r="F331" s="21">
        <f ca="1">IF(AR_table[[#This Row],[due_date]]&gt;=TODAY(),0,NETWORKDAYS(AR_table[[#This Row],[due_date]],TODAY()))</f>
        <v>0</v>
      </c>
      <c r="G331" s="4" t="str">
        <f ca="1">VLOOKUP(AR_age_category!$F331,Table4[#All],2)</f>
        <v>Not due</v>
      </c>
    </row>
    <row r="332" spans="1:7" x14ac:dyDescent="0.3">
      <c r="A332" s="11" t="s">
        <v>322</v>
      </c>
      <c r="B332" s="2" t="s">
        <v>595</v>
      </c>
      <c r="C332" s="12">
        <v>45857</v>
      </c>
      <c r="D332" s="12">
        <f>WORKDAY(AR_age_category!$C332,$J$1)</f>
        <v>45898</v>
      </c>
      <c r="E332" s="13">
        <v>1629.61</v>
      </c>
      <c r="F332" s="21">
        <f ca="1">IF(AR_table[[#This Row],[due_date]]&gt;=TODAY(),0,NETWORKDAYS(AR_table[[#This Row],[due_date]],TODAY()))</f>
        <v>113</v>
      </c>
      <c r="G332" s="2" t="str">
        <f ca="1">VLOOKUP(AR_age_category!$F332,Table4[#All],2)</f>
        <v>&gt;90</v>
      </c>
    </row>
    <row r="333" spans="1:7" x14ac:dyDescent="0.3">
      <c r="A333" s="14" t="s">
        <v>323</v>
      </c>
      <c r="B333" s="4" t="s">
        <v>594</v>
      </c>
      <c r="C333" s="15">
        <v>45719</v>
      </c>
      <c r="D333" s="15">
        <f>WORKDAY(AR_age_category!$C333,$J$1)</f>
        <v>45761</v>
      </c>
      <c r="E333" s="16">
        <v>6605.12</v>
      </c>
      <c r="F333" s="21">
        <f ca="1">IF(AR_table[[#This Row],[due_date]]&gt;=TODAY(),0,NETWORKDAYS(AR_table[[#This Row],[due_date]],TODAY()))</f>
        <v>212</v>
      </c>
      <c r="G333" s="4" t="str">
        <f ca="1">VLOOKUP(AR_age_category!$F333,Table4[#All],2)</f>
        <v>&gt;90</v>
      </c>
    </row>
    <row r="334" spans="1:7" x14ac:dyDescent="0.3">
      <c r="A334" s="11" t="s">
        <v>324</v>
      </c>
      <c r="B334" s="2" t="s">
        <v>591</v>
      </c>
      <c r="C334" s="12">
        <v>45905</v>
      </c>
      <c r="D334" s="12">
        <f>WORKDAY(AR_age_category!$C334,$J$1)</f>
        <v>45947</v>
      </c>
      <c r="E334" s="13">
        <v>2497.34</v>
      </c>
      <c r="F334" s="21">
        <f ca="1">IF(AR_table[[#This Row],[due_date]]&gt;=TODAY(),0,NETWORKDAYS(AR_table[[#This Row],[due_date]],TODAY()))</f>
        <v>78</v>
      </c>
      <c r="G334" s="2" t="str">
        <f ca="1">VLOOKUP(AR_age_category!$F334,Table4[#All],2)</f>
        <v>61-90</v>
      </c>
    </row>
    <row r="335" spans="1:7" x14ac:dyDescent="0.3">
      <c r="A335" s="11" t="s">
        <v>325</v>
      </c>
      <c r="B335" s="2" t="s">
        <v>595</v>
      </c>
      <c r="C335" s="12">
        <v>45929</v>
      </c>
      <c r="D335" s="12">
        <f>WORKDAY(AR_age_category!$C335,$J$1)</f>
        <v>45971</v>
      </c>
      <c r="E335" s="13">
        <v>3027.77</v>
      </c>
      <c r="F335" s="21">
        <f ca="1">IF(AR_table[[#This Row],[due_date]]&gt;=TODAY(),0,NETWORKDAYS(AR_table[[#This Row],[due_date]],TODAY()))</f>
        <v>62</v>
      </c>
      <c r="G335" s="2" t="str">
        <f ca="1">VLOOKUP(AR_age_category!$F335,Table4[#All],2)</f>
        <v>61-90</v>
      </c>
    </row>
    <row r="336" spans="1:7" x14ac:dyDescent="0.3">
      <c r="A336" s="11" t="s">
        <v>326</v>
      </c>
      <c r="B336" s="2" t="s">
        <v>592</v>
      </c>
      <c r="C336" s="12">
        <v>45668</v>
      </c>
      <c r="D336" s="12">
        <f>WORKDAY(AR_age_category!$C336,$J$1)</f>
        <v>45709</v>
      </c>
      <c r="E336" s="13">
        <v>7102.62</v>
      </c>
      <c r="F336" s="21">
        <f ca="1">IF(AR_table[[#This Row],[due_date]]&gt;=TODAY(),0,NETWORKDAYS(AR_table[[#This Row],[due_date]],TODAY()))</f>
        <v>248</v>
      </c>
      <c r="G336" s="2" t="str">
        <f ca="1">VLOOKUP(AR_age_category!$F336,Table4[#All],2)</f>
        <v>&gt;90</v>
      </c>
    </row>
    <row r="337" spans="1:7" x14ac:dyDescent="0.3">
      <c r="A337" s="14" t="s">
        <v>327</v>
      </c>
      <c r="B337" s="4" t="s">
        <v>593</v>
      </c>
      <c r="C337" s="15">
        <v>45855</v>
      </c>
      <c r="D337" s="15">
        <f>WORKDAY(AR_age_category!$C337,$J$1)</f>
        <v>45897</v>
      </c>
      <c r="E337" s="16">
        <v>5929.86</v>
      </c>
      <c r="F337" s="21">
        <f ca="1">IF(AR_table[[#This Row],[due_date]]&gt;=TODAY(),0,NETWORKDAYS(AR_table[[#This Row],[due_date]],TODAY()))</f>
        <v>114</v>
      </c>
      <c r="G337" s="4" t="str">
        <f ca="1">VLOOKUP(AR_age_category!$F337,Table4[#All],2)</f>
        <v>&gt;90</v>
      </c>
    </row>
    <row r="338" spans="1:7" x14ac:dyDescent="0.3">
      <c r="A338" s="11" t="s">
        <v>328</v>
      </c>
      <c r="B338" s="2" t="s">
        <v>591</v>
      </c>
      <c r="C338" s="12">
        <v>45684</v>
      </c>
      <c r="D338" s="12">
        <f>WORKDAY(AR_age_category!$C338,$J$1)</f>
        <v>45726</v>
      </c>
      <c r="E338" s="13">
        <v>6424.1</v>
      </c>
      <c r="F338" s="21">
        <f ca="1">IF(AR_table[[#This Row],[due_date]]&gt;=TODAY(),0,NETWORKDAYS(AR_table[[#This Row],[due_date]],TODAY()))</f>
        <v>237</v>
      </c>
      <c r="G338" s="2" t="str">
        <f ca="1">VLOOKUP(AR_age_category!$F338,Table4[#All],2)</f>
        <v>&gt;90</v>
      </c>
    </row>
    <row r="339" spans="1:7" x14ac:dyDescent="0.3">
      <c r="A339" s="14" t="s">
        <v>329</v>
      </c>
      <c r="B339" s="4" t="s">
        <v>593</v>
      </c>
      <c r="C339" s="15">
        <v>45900</v>
      </c>
      <c r="D339" s="15">
        <f>WORKDAY(AR_age_category!$C339,$J$1)</f>
        <v>45940</v>
      </c>
      <c r="E339" s="16">
        <v>4923.67</v>
      </c>
      <c r="F339" s="21">
        <f ca="1">IF(AR_table[[#This Row],[due_date]]&gt;=TODAY(),0,NETWORKDAYS(AR_table[[#This Row],[due_date]],TODAY()))</f>
        <v>83</v>
      </c>
      <c r="G339" s="4" t="str">
        <f ca="1">VLOOKUP(AR_age_category!$F339,Table4[#All],2)</f>
        <v>61-90</v>
      </c>
    </row>
    <row r="340" spans="1:7" x14ac:dyDescent="0.3">
      <c r="A340" s="14" t="s">
        <v>330</v>
      </c>
      <c r="B340" s="4" t="s">
        <v>591</v>
      </c>
      <c r="C340" s="15">
        <v>46066</v>
      </c>
      <c r="D340" s="15">
        <f>WORKDAY(AR_age_category!$C340,$J$1)</f>
        <v>46108</v>
      </c>
      <c r="E340" s="16">
        <v>6136.43</v>
      </c>
      <c r="F340" s="21">
        <f ca="1">IF(AR_table[[#This Row],[due_date]]&gt;=TODAY(),0,NETWORKDAYS(AR_table[[#This Row],[due_date]],TODAY()))</f>
        <v>0</v>
      </c>
      <c r="G340" s="4" t="str">
        <f ca="1">VLOOKUP(AR_age_category!$F340,Table4[#All],2)</f>
        <v>Not due</v>
      </c>
    </row>
    <row r="341" spans="1:7" x14ac:dyDescent="0.3">
      <c r="A341" s="14" t="s">
        <v>331</v>
      </c>
      <c r="B341" s="4" t="s">
        <v>591</v>
      </c>
      <c r="C341" s="15">
        <v>45925</v>
      </c>
      <c r="D341" s="15">
        <f>WORKDAY(AR_age_category!$C341,$J$1)</f>
        <v>45967</v>
      </c>
      <c r="E341" s="16">
        <v>6215.44</v>
      </c>
      <c r="F341" s="21">
        <f ca="1">IF(AR_table[[#This Row],[due_date]]&gt;=TODAY(),0,NETWORKDAYS(AR_table[[#This Row],[due_date]],TODAY()))</f>
        <v>64</v>
      </c>
      <c r="G341" s="4" t="str">
        <f ca="1">VLOOKUP(AR_age_category!$F341,Table4[#All],2)</f>
        <v>61-90</v>
      </c>
    </row>
    <row r="342" spans="1:7" x14ac:dyDescent="0.3">
      <c r="A342" s="11" t="s">
        <v>332</v>
      </c>
      <c r="B342" s="2" t="s">
        <v>594</v>
      </c>
      <c r="C342" s="12">
        <v>45676</v>
      </c>
      <c r="D342" s="12">
        <f>WORKDAY(AR_age_category!$C342,$J$1)</f>
        <v>45716</v>
      </c>
      <c r="E342" s="13">
        <v>2857.74</v>
      </c>
      <c r="F342" s="21">
        <f ca="1">IF(AR_table[[#This Row],[due_date]]&gt;=TODAY(),0,NETWORKDAYS(AR_table[[#This Row],[due_date]],TODAY()))</f>
        <v>243</v>
      </c>
      <c r="G342" s="2" t="str">
        <f ca="1">VLOOKUP(AR_age_category!$F342,Table4[#All],2)</f>
        <v>&gt;90</v>
      </c>
    </row>
    <row r="343" spans="1:7" x14ac:dyDescent="0.3">
      <c r="A343" s="14" t="s">
        <v>333</v>
      </c>
      <c r="B343" s="4" t="s">
        <v>593</v>
      </c>
      <c r="C343" s="15">
        <v>45740</v>
      </c>
      <c r="D343" s="15">
        <f>WORKDAY(AR_age_category!$C343,$J$1)</f>
        <v>45782</v>
      </c>
      <c r="E343" s="16">
        <v>4322.01</v>
      </c>
      <c r="F343" s="21">
        <f ca="1">IF(AR_table[[#This Row],[due_date]]&gt;=TODAY(),0,NETWORKDAYS(AR_table[[#This Row],[due_date]],TODAY()))</f>
        <v>197</v>
      </c>
      <c r="G343" s="4" t="str">
        <f ca="1">VLOOKUP(AR_age_category!$F343,Table4[#All],2)</f>
        <v>&gt;90</v>
      </c>
    </row>
    <row r="344" spans="1:7" x14ac:dyDescent="0.3">
      <c r="A344" s="11" t="s">
        <v>334</v>
      </c>
      <c r="B344" s="2" t="s">
        <v>591</v>
      </c>
      <c r="C344" s="12">
        <v>46078</v>
      </c>
      <c r="D344" s="12">
        <f>WORKDAY(AR_age_category!$C344,$J$1)</f>
        <v>46120</v>
      </c>
      <c r="E344" s="13">
        <v>7905.09</v>
      </c>
      <c r="F344" s="21">
        <f ca="1">IF(AR_table[[#This Row],[due_date]]&gt;=TODAY(),0,NETWORKDAYS(AR_table[[#This Row],[due_date]],TODAY()))</f>
        <v>0</v>
      </c>
      <c r="G344" s="2" t="str">
        <f ca="1">VLOOKUP(AR_age_category!$F344,Table4[#All],2)</f>
        <v>Not due</v>
      </c>
    </row>
    <row r="345" spans="1:7" x14ac:dyDescent="0.3">
      <c r="A345" s="14" t="s">
        <v>335</v>
      </c>
      <c r="B345" s="4" t="s">
        <v>592</v>
      </c>
      <c r="C345" s="15">
        <v>45716</v>
      </c>
      <c r="D345" s="15">
        <f>WORKDAY(AR_age_category!$C345,$J$1)</f>
        <v>45758</v>
      </c>
      <c r="E345" s="16">
        <v>743.1</v>
      </c>
      <c r="F345" s="21">
        <f ca="1">IF(AR_table[[#This Row],[due_date]]&gt;=TODAY(),0,NETWORKDAYS(AR_table[[#This Row],[due_date]],TODAY()))</f>
        <v>213</v>
      </c>
      <c r="G345" s="4" t="str">
        <f ca="1">VLOOKUP(AR_age_category!$F345,Table4[#All],2)</f>
        <v>&gt;90</v>
      </c>
    </row>
    <row r="346" spans="1:7" x14ac:dyDescent="0.3">
      <c r="A346" s="11" t="s">
        <v>336</v>
      </c>
      <c r="B346" s="2" t="s">
        <v>595</v>
      </c>
      <c r="C346" s="12">
        <v>45663</v>
      </c>
      <c r="D346" s="12">
        <f>WORKDAY(AR_age_category!$C346,$J$1)</f>
        <v>45705</v>
      </c>
      <c r="E346" s="13">
        <v>6727.1</v>
      </c>
      <c r="F346" s="21">
        <f ca="1">IF(AR_table[[#This Row],[due_date]]&gt;=TODAY(),0,NETWORKDAYS(AR_table[[#This Row],[due_date]],TODAY()))</f>
        <v>252</v>
      </c>
      <c r="G346" s="2" t="str">
        <f ca="1">VLOOKUP(AR_age_category!$F346,Table4[#All],2)</f>
        <v>&gt;90</v>
      </c>
    </row>
    <row r="347" spans="1:7" x14ac:dyDescent="0.3">
      <c r="A347" s="14" t="s">
        <v>337</v>
      </c>
      <c r="B347" s="4" t="s">
        <v>593</v>
      </c>
      <c r="C347" s="15">
        <v>46177</v>
      </c>
      <c r="D347" s="15">
        <f>WORKDAY(AR_age_category!$C347,$J$1)</f>
        <v>46219</v>
      </c>
      <c r="E347" s="16">
        <v>917.97</v>
      </c>
      <c r="F347" s="21">
        <f ca="1">IF(AR_table[[#This Row],[due_date]]&gt;=TODAY(),0,NETWORKDAYS(AR_table[[#This Row],[due_date]],TODAY()))</f>
        <v>0</v>
      </c>
      <c r="G347" s="4" t="str">
        <f ca="1">VLOOKUP(AR_age_category!$F347,Table4[#All],2)</f>
        <v>Not due</v>
      </c>
    </row>
    <row r="348" spans="1:7" x14ac:dyDescent="0.3">
      <c r="A348" s="11" t="s">
        <v>338</v>
      </c>
      <c r="B348" s="2" t="s">
        <v>591</v>
      </c>
      <c r="C348" s="12">
        <v>45885</v>
      </c>
      <c r="D348" s="12">
        <f>WORKDAY(AR_age_category!$C348,$J$1)</f>
        <v>45926</v>
      </c>
      <c r="E348" s="13">
        <v>1299.6199999999999</v>
      </c>
      <c r="F348" s="21">
        <f ca="1">IF(AR_table[[#This Row],[due_date]]&gt;=TODAY(),0,NETWORKDAYS(AR_table[[#This Row],[due_date]],TODAY()))</f>
        <v>93</v>
      </c>
      <c r="G348" s="2" t="str">
        <f ca="1">VLOOKUP(AR_age_category!$F348,Table4[#All],2)</f>
        <v>&gt;90</v>
      </c>
    </row>
    <row r="349" spans="1:7" x14ac:dyDescent="0.3">
      <c r="A349" s="14" t="s">
        <v>339</v>
      </c>
      <c r="B349" s="4" t="s">
        <v>593</v>
      </c>
      <c r="C349" s="15">
        <v>45704</v>
      </c>
      <c r="D349" s="15">
        <f>WORKDAY(AR_age_category!$C349,$J$1)</f>
        <v>45744</v>
      </c>
      <c r="E349" s="16">
        <v>2593.81</v>
      </c>
      <c r="F349" s="21">
        <f ca="1">IF(AR_table[[#This Row],[due_date]]&gt;=TODAY(),0,NETWORKDAYS(AR_table[[#This Row],[due_date]],TODAY()))</f>
        <v>223</v>
      </c>
      <c r="G349" s="4" t="str">
        <f ca="1">VLOOKUP(AR_age_category!$F349,Table4[#All],2)</f>
        <v>&gt;90</v>
      </c>
    </row>
    <row r="350" spans="1:7" x14ac:dyDescent="0.3">
      <c r="A350" s="11" t="s">
        <v>340</v>
      </c>
      <c r="B350" s="2" t="s">
        <v>592</v>
      </c>
      <c r="C350" s="12">
        <v>46080</v>
      </c>
      <c r="D350" s="12">
        <f>WORKDAY(AR_age_category!$C350,$J$1)</f>
        <v>46122</v>
      </c>
      <c r="E350" s="13">
        <v>5910.9</v>
      </c>
      <c r="F350" s="21">
        <f ca="1">IF(AR_table[[#This Row],[due_date]]&gt;=TODAY(),0,NETWORKDAYS(AR_table[[#This Row],[due_date]],TODAY()))</f>
        <v>0</v>
      </c>
      <c r="G350" s="2" t="str">
        <f ca="1">VLOOKUP(AR_age_category!$F350,Table4[#All],2)</f>
        <v>Not due</v>
      </c>
    </row>
    <row r="351" spans="1:7" x14ac:dyDescent="0.3">
      <c r="A351" s="14" t="s">
        <v>341</v>
      </c>
      <c r="B351" s="4" t="s">
        <v>591</v>
      </c>
      <c r="C351" s="15">
        <v>46002</v>
      </c>
      <c r="D351" s="15">
        <f>WORKDAY(AR_age_category!$C351,$J$1)</f>
        <v>46044</v>
      </c>
      <c r="E351" s="16">
        <v>4375.05</v>
      </c>
      <c r="F351" s="21">
        <f ca="1">IF(AR_table[[#This Row],[due_date]]&gt;=TODAY(),0,NETWORKDAYS(AR_table[[#This Row],[due_date]],TODAY()))</f>
        <v>9</v>
      </c>
      <c r="G351" s="4" t="str">
        <f ca="1">VLOOKUP(AR_age_category!$F351,Table4[#All],2)</f>
        <v>1-30</v>
      </c>
    </row>
    <row r="352" spans="1:7" x14ac:dyDescent="0.3">
      <c r="A352" s="11" t="s">
        <v>342</v>
      </c>
      <c r="B352" s="2" t="s">
        <v>594</v>
      </c>
      <c r="C352" s="12">
        <v>45934</v>
      </c>
      <c r="D352" s="12">
        <f>WORKDAY(AR_age_category!$C352,$J$1)</f>
        <v>45975</v>
      </c>
      <c r="E352" s="13">
        <v>5454.31</v>
      </c>
      <c r="F352" s="21">
        <f ca="1">IF(AR_table[[#This Row],[due_date]]&gt;=TODAY(),0,NETWORKDAYS(AR_table[[#This Row],[due_date]],TODAY()))</f>
        <v>58</v>
      </c>
      <c r="G352" s="2" t="str">
        <f ca="1">VLOOKUP(AR_age_category!$F352,Table4[#All],2)</f>
        <v>31-60</v>
      </c>
    </row>
    <row r="353" spans="1:7" x14ac:dyDescent="0.3">
      <c r="A353" s="14" t="s">
        <v>343</v>
      </c>
      <c r="B353" s="4" t="s">
        <v>595</v>
      </c>
      <c r="C353" s="15">
        <v>45798</v>
      </c>
      <c r="D353" s="15">
        <f>WORKDAY(AR_age_category!$C353,$J$1)</f>
        <v>45840</v>
      </c>
      <c r="E353" s="16">
        <v>7779.62</v>
      </c>
      <c r="F353" s="21">
        <f ca="1">IF(AR_table[[#This Row],[due_date]]&gt;=TODAY(),0,NETWORKDAYS(AR_table[[#This Row],[due_date]],TODAY()))</f>
        <v>155</v>
      </c>
      <c r="G353" s="4" t="str">
        <f ca="1">VLOOKUP(AR_age_category!$F353,Table4[#All],2)</f>
        <v>&gt;90</v>
      </c>
    </row>
    <row r="354" spans="1:7" x14ac:dyDescent="0.3">
      <c r="A354" s="14" t="s">
        <v>344</v>
      </c>
      <c r="B354" s="4" t="s">
        <v>592</v>
      </c>
      <c r="C354" s="15">
        <v>45982</v>
      </c>
      <c r="D354" s="15">
        <f>WORKDAY(AR_age_category!$C354,$J$1)</f>
        <v>46024</v>
      </c>
      <c r="E354" s="16">
        <v>6285.37</v>
      </c>
      <c r="F354" s="21">
        <f ca="1">IF(AR_table[[#This Row],[due_date]]&gt;=TODAY(),0,NETWORKDAYS(AR_table[[#This Row],[due_date]],TODAY()))</f>
        <v>23</v>
      </c>
      <c r="G354" s="4" t="str">
        <f ca="1">VLOOKUP(AR_age_category!$F354,Table4[#All],2)</f>
        <v>1-30</v>
      </c>
    </row>
    <row r="355" spans="1:7" x14ac:dyDescent="0.3">
      <c r="A355" s="11" t="s">
        <v>345</v>
      </c>
      <c r="B355" s="2" t="s">
        <v>592</v>
      </c>
      <c r="C355" s="12">
        <v>45823</v>
      </c>
      <c r="D355" s="12">
        <f>WORKDAY(AR_age_category!$C355,$J$1)</f>
        <v>45863</v>
      </c>
      <c r="E355" s="13">
        <v>6675.34</v>
      </c>
      <c r="F355" s="21">
        <f ca="1">IF(AR_table[[#This Row],[due_date]]&gt;=TODAY(),0,NETWORKDAYS(AR_table[[#This Row],[due_date]],TODAY()))</f>
        <v>138</v>
      </c>
      <c r="G355" s="2" t="str">
        <f ca="1">VLOOKUP(AR_age_category!$F355,Table4[#All],2)</f>
        <v>&gt;90</v>
      </c>
    </row>
    <row r="356" spans="1:7" x14ac:dyDescent="0.3">
      <c r="A356" s="11" t="s">
        <v>346</v>
      </c>
      <c r="B356" s="2" t="s">
        <v>593</v>
      </c>
      <c r="C356" s="12">
        <v>46154</v>
      </c>
      <c r="D356" s="12">
        <f>WORKDAY(AR_age_category!$C356,$J$1)</f>
        <v>46196</v>
      </c>
      <c r="E356" s="13">
        <v>3320.12</v>
      </c>
      <c r="F356" s="21">
        <f ca="1">IF(AR_table[[#This Row],[due_date]]&gt;=TODAY(),0,NETWORKDAYS(AR_table[[#This Row],[due_date]],TODAY()))</f>
        <v>0</v>
      </c>
      <c r="G356" s="2" t="str">
        <f ca="1">VLOOKUP(AR_age_category!$F356,Table4[#All],2)</f>
        <v>Not due</v>
      </c>
    </row>
    <row r="357" spans="1:7" x14ac:dyDescent="0.3">
      <c r="A357" s="14" t="s">
        <v>347</v>
      </c>
      <c r="B357" s="4" t="s">
        <v>593</v>
      </c>
      <c r="C357" s="15">
        <v>45834</v>
      </c>
      <c r="D357" s="15">
        <f>WORKDAY(AR_age_category!$C357,$J$1)</f>
        <v>45876</v>
      </c>
      <c r="E357" s="16">
        <v>3567.1</v>
      </c>
      <c r="F357" s="21">
        <f ca="1">IF(AR_table[[#This Row],[due_date]]&gt;=TODAY(),0,NETWORKDAYS(AR_table[[#This Row],[due_date]],TODAY()))</f>
        <v>129</v>
      </c>
      <c r="G357" s="4" t="str">
        <f ca="1">VLOOKUP(AR_age_category!$F357,Table4[#All],2)</f>
        <v>&gt;90</v>
      </c>
    </row>
    <row r="358" spans="1:7" x14ac:dyDescent="0.3">
      <c r="A358" s="11" t="s">
        <v>348</v>
      </c>
      <c r="B358" s="2" t="s">
        <v>595</v>
      </c>
      <c r="C358" s="12">
        <v>45831</v>
      </c>
      <c r="D358" s="12">
        <f>WORKDAY(AR_age_category!$C358,$J$1)</f>
        <v>45873</v>
      </c>
      <c r="E358" s="13">
        <v>1514.1</v>
      </c>
      <c r="F358" s="21">
        <f ca="1">IF(AR_table[[#This Row],[due_date]]&gt;=TODAY(),0,NETWORKDAYS(AR_table[[#This Row],[due_date]],TODAY()))</f>
        <v>132</v>
      </c>
      <c r="G358" s="2" t="str">
        <f ca="1">VLOOKUP(AR_age_category!$F358,Table4[#All],2)</f>
        <v>&gt;90</v>
      </c>
    </row>
    <row r="359" spans="1:7" x14ac:dyDescent="0.3">
      <c r="A359" s="14" t="s">
        <v>349</v>
      </c>
      <c r="B359" s="4" t="s">
        <v>592</v>
      </c>
      <c r="C359" s="15">
        <v>45859</v>
      </c>
      <c r="D359" s="15">
        <f>WORKDAY(AR_age_category!$C359,$J$1)</f>
        <v>45901</v>
      </c>
      <c r="E359" s="16">
        <v>5234.6000000000004</v>
      </c>
      <c r="F359" s="21">
        <f ca="1">IF(AR_table[[#This Row],[due_date]]&gt;=TODAY(),0,NETWORKDAYS(AR_table[[#This Row],[due_date]],TODAY()))</f>
        <v>112</v>
      </c>
      <c r="G359" s="4" t="str">
        <f ca="1">VLOOKUP(AR_age_category!$F359,Table4[#All],2)</f>
        <v>&gt;90</v>
      </c>
    </row>
    <row r="360" spans="1:7" x14ac:dyDescent="0.3">
      <c r="A360" s="11" t="s">
        <v>350</v>
      </c>
      <c r="B360" s="2" t="s">
        <v>594</v>
      </c>
      <c r="C360" s="12">
        <v>46004</v>
      </c>
      <c r="D360" s="12">
        <f>WORKDAY(AR_age_category!$C360,$J$1)</f>
        <v>46045</v>
      </c>
      <c r="E360" s="13">
        <v>3441.63</v>
      </c>
      <c r="F360" s="21">
        <f ca="1">IF(AR_table[[#This Row],[due_date]]&gt;=TODAY(),0,NETWORKDAYS(AR_table[[#This Row],[due_date]],TODAY()))</f>
        <v>8</v>
      </c>
      <c r="G360" s="2" t="str">
        <f ca="1">VLOOKUP(AR_age_category!$F360,Table4[#All],2)</f>
        <v>1-30</v>
      </c>
    </row>
    <row r="361" spans="1:7" x14ac:dyDescent="0.3">
      <c r="A361" s="14" t="s">
        <v>351</v>
      </c>
      <c r="B361" s="4" t="s">
        <v>591</v>
      </c>
      <c r="C361" s="15">
        <v>45951</v>
      </c>
      <c r="D361" s="15">
        <f>WORKDAY(AR_age_category!$C361,$J$1)</f>
        <v>45993</v>
      </c>
      <c r="E361" s="16">
        <v>6507.19</v>
      </c>
      <c r="F361" s="21">
        <f ca="1">IF(AR_table[[#This Row],[due_date]]&gt;=TODAY(),0,NETWORKDAYS(AR_table[[#This Row],[due_date]],TODAY()))</f>
        <v>46</v>
      </c>
      <c r="G361" s="4" t="str">
        <f ca="1">VLOOKUP(AR_age_category!$F361,Table4[#All],2)</f>
        <v>31-60</v>
      </c>
    </row>
    <row r="362" spans="1:7" x14ac:dyDescent="0.3">
      <c r="A362" s="11" t="s">
        <v>352</v>
      </c>
      <c r="B362" s="2" t="s">
        <v>593</v>
      </c>
      <c r="C362" s="12">
        <v>46084</v>
      </c>
      <c r="D362" s="12">
        <f>WORKDAY(AR_age_category!$C362,$J$1)</f>
        <v>46126</v>
      </c>
      <c r="E362" s="13">
        <v>3028.92</v>
      </c>
      <c r="F362" s="21">
        <f ca="1">IF(AR_table[[#This Row],[due_date]]&gt;=TODAY(),0,NETWORKDAYS(AR_table[[#This Row],[due_date]],TODAY()))</f>
        <v>0</v>
      </c>
      <c r="G362" s="2" t="str">
        <f ca="1">VLOOKUP(AR_age_category!$F362,Table4[#All],2)</f>
        <v>Not due</v>
      </c>
    </row>
    <row r="363" spans="1:7" x14ac:dyDescent="0.3">
      <c r="A363" s="11" t="s">
        <v>353</v>
      </c>
      <c r="B363" s="2" t="s">
        <v>595</v>
      </c>
      <c r="C363" s="12">
        <v>46093</v>
      </c>
      <c r="D363" s="12">
        <f>WORKDAY(AR_age_category!$C363,$J$1)</f>
        <v>46135</v>
      </c>
      <c r="E363" s="13">
        <v>6618.18</v>
      </c>
      <c r="F363" s="21">
        <f ca="1">IF(AR_table[[#This Row],[due_date]]&gt;=TODAY(),0,NETWORKDAYS(AR_table[[#This Row],[due_date]],TODAY()))</f>
        <v>0</v>
      </c>
      <c r="G363" s="2" t="str">
        <f ca="1">VLOOKUP(AR_age_category!$F363,Table4[#All],2)</f>
        <v>Not due</v>
      </c>
    </row>
    <row r="364" spans="1:7" x14ac:dyDescent="0.3">
      <c r="A364" s="14" t="s">
        <v>354</v>
      </c>
      <c r="B364" s="4" t="s">
        <v>593</v>
      </c>
      <c r="C364" s="15">
        <v>45717</v>
      </c>
      <c r="D364" s="15">
        <f>WORKDAY(AR_age_category!$C364,$J$1)</f>
        <v>45758</v>
      </c>
      <c r="E364" s="16">
        <v>289.27999999999997</v>
      </c>
      <c r="F364" s="21">
        <f ca="1">IF(AR_table[[#This Row],[due_date]]&gt;=TODAY(),0,NETWORKDAYS(AR_table[[#This Row],[due_date]],TODAY()))</f>
        <v>213</v>
      </c>
      <c r="G364" s="4" t="str">
        <f ca="1">VLOOKUP(AR_age_category!$F364,Table4[#All],2)</f>
        <v>&gt;90</v>
      </c>
    </row>
    <row r="365" spans="1:7" x14ac:dyDescent="0.3">
      <c r="A365" s="11" t="s">
        <v>355</v>
      </c>
      <c r="B365" s="2" t="s">
        <v>592</v>
      </c>
      <c r="C365" s="12">
        <v>46124</v>
      </c>
      <c r="D365" s="12">
        <f>WORKDAY(AR_age_category!$C365,$J$1)</f>
        <v>46164</v>
      </c>
      <c r="E365" s="13">
        <v>5116.57</v>
      </c>
      <c r="F365" s="21">
        <f ca="1">IF(AR_table[[#This Row],[due_date]]&gt;=TODAY(),0,NETWORKDAYS(AR_table[[#This Row],[due_date]],TODAY()))</f>
        <v>0</v>
      </c>
      <c r="G365" s="2" t="str">
        <f ca="1">VLOOKUP(AR_age_category!$F365,Table4[#All],2)</f>
        <v>Not due</v>
      </c>
    </row>
    <row r="366" spans="1:7" x14ac:dyDescent="0.3">
      <c r="A366" s="11" t="s">
        <v>356</v>
      </c>
      <c r="B366" s="2" t="s">
        <v>591</v>
      </c>
      <c r="C366" s="12">
        <v>45861</v>
      </c>
      <c r="D366" s="12">
        <f>WORKDAY(AR_age_category!$C366,$J$1)</f>
        <v>45903</v>
      </c>
      <c r="E366" s="13">
        <v>2650.37</v>
      </c>
      <c r="F366" s="21">
        <f ca="1">IF(AR_table[[#This Row],[due_date]]&gt;=TODAY(),0,NETWORKDAYS(AR_table[[#This Row],[due_date]],TODAY()))</f>
        <v>110</v>
      </c>
      <c r="G366" s="2" t="str">
        <f ca="1">VLOOKUP(AR_age_category!$F366,Table4[#All],2)</f>
        <v>&gt;90</v>
      </c>
    </row>
    <row r="367" spans="1:7" x14ac:dyDescent="0.3">
      <c r="A367" s="14" t="s">
        <v>357</v>
      </c>
      <c r="B367" s="4" t="s">
        <v>595</v>
      </c>
      <c r="C367" s="15">
        <v>46134</v>
      </c>
      <c r="D367" s="15">
        <f>WORKDAY(AR_age_category!$C367,$J$1)</f>
        <v>46176</v>
      </c>
      <c r="E367" s="16">
        <v>4369.96</v>
      </c>
      <c r="F367" s="21">
        <f ca="1">IF(AR_table[[#This Row],[due_date]]&gt;=TODAY(),0,NETWORKDAYS(AR_table[[#This Row],[due_date]],TODAY()))</f>
        <v>0</v>
      </c>
      <c r="G367" s="4" t="str">
        <f ca="1">VLOOKUP(AR_age_category!$F367,Table4[#All],2)</f>
        <v>Not due</v>
      </c>
    </row>
    <row r="368" spans="1:7" x14ac:dyDescent="0.3">
      <c r="A368" s="11" t="s">
        <v>358</v>
      </c>
      <c r="B368" s="2" t="s">
        <v>593</v>
      </c>
      <c r="C368" s="12">
        <v>46114</v>
      </c>
      <c r="D368" s="12">
        <f>WORKDAY(AR_age_category!$C368,$J$1)</f>
        <v>46156</v>
      </c>
      <c r="E368" s="13">
        <v>436.3</v>
      </c>
      <c r="F368" s="21">
        <f ca="1">IF(AR_table[[#This Row],[due_date]]&gt;=TODAY(),0,NETWORKDAYS(AR_table[[#This Row],[due_date]],TODAY()))</f>
        <v>0</v>
      </c>
      <c r="G368" s="2" t="str">
        <f ca="1">VLOOKUP(AR_age_category!$F368,Table4[#All],2)</f>
        <v>Not due</v>
      </c>
    </row>
    <row r="369" spans="1:7" x14ac:dyDescent="0.3">
      <c r="A369" s="14" t="s">
        <v>359</v>
      </c>
      <c r="B369" s="4" t="s">
        <v>591</v>
      </c>
      <c r="C369" s="15">
        <v>45674</v>
      </c>
      <c r="D369" s="15">
        <f>WORKDAY(AR_age_category!$C369,$J$1)</f>
        <v>45716</v>
      </c>
      <c r="E369" s="16">
        <v>2188.6999999999998</v>
      </c>
      <c r="F369" s="21">
        <f ca="1">IF(AR_table[[#This Row],[due_date]]&gt;=TODAY(),0,NETWORKDAYS(AR_table[[#This Row],[due_date]],TODAY()))</f>
        <v>243</v>
      </c>
      <c r="G369" s="4" t="str">
        <f ca="1">VLOOKUP(AR_age_category!$F369,Table4[#All],2)</f>
        <v>&gt;90</v>
      </c>
    </row>
    <row r="370" spans="1:7" x14ac:dyDescent="0.3">
      <c r="A370" s="14" t="s">
        <v>360</v>
      </c>
      <c r="B370" s="4" t="s">
        <v>595</v>
      </c>
      <c r="C370" s="15">
        <v>45875</v>
      </c>
      <c r="D370" s="15">
        <f>WORKDAY(AR_age_category!$C370,$J$1)</f>
        <v>45917</v>
      </c>
      <c r="E370" s="16">
        <v>4212.33</v>
      </c>
      <c r="F370" s="21">
        <f ca="1">IF(AR_table[[#This Row],[due_date]]&gt;=TODAY(),0,NETWORKDAYS(AR_table[[#This Row],[due_date]],TODAY()))</f>
        <v>100</v>
      </c>
      <c r="G370" s="4" t="str">
        <f ca="1">VLOOKUP(AR_age_category!$F370,Table4[#All],2)</f>
        <v>&gt;90</v>
      </c>
    </row>
    <row r="371" spans="1:7" x14ac:dyDescent="0.3">
      <c r="A371" s="11" t="s">
        <v>361</v>
      </c>
      <c r="B371" s="2" t="s">
        <v>594</v>
      </c>
      <c r="C371" s="12">
        <v>45944</v>
      </c>
      <c r="D371" s="12">
        <f>WORKDAY(AR_age_category!$C371,$J$1)</f>
        <v>45986</v>
      </c>
      <c r="E371" s="13">
        <v>5357.53</v>
      </c>
      <c r="F371" s="21">
        <f ca="1">IF(AR_table[[#This Row],[due_date]]&gt;=TODAY(),0,NETWORKDAYS(AR_table[[#This Row],[due_date]],TODAY()))</f>
        <v>51</v>
      </c>
      <c r="G371" s="2" t="str">
        <f ca="1">VLOOKUP(AR_age_category!$F371,Table4[#All],2)</f>
        <v>31-60</v>
      </c>
    </row>
    <row r="372" spans="1:7" x14ac:dyDescent="0.3">
      <c r="A372" s="14" t="s">
        <v>362</v>
      </c>
      <c r="B372" s="4" t="s">
        <v>595</v>
      </c>
      <c r="C372" s="15">
        <v>45769</v>
      </c>
      <c r="D372" s="15">
        <f>WORKDAY(AR_age_category!$C372,$J$1)</f>
        <v>45811</v>
      </c>
      <c r="E372" s="16">
        <v>3853.52</v>
      </c>
      <c r="F372" s="21">
        <f ca="1">IF(AR_table[[#This Row],[due_date]]&gt;=TODAY(),0,NETWORKDAYS(AR_table[[#This Row],[due_date]],TODAY()))</f>
        <v>176</v>
      </c>
      <c r="G372" s="4" t="str">
        <f ca="1">VLOOKUP(AR_age_category!$F372,Table4[#All],2)</f>
        <v>&gt;90</v>
      </c>
    </row>
    <row r="373" spans="1:7" x14ac:dyDescent="0.3">
      <c r="A373" s="14" t="s">
        <v>363</v>
      </c>
      <c r="B373" s="4" t="s">
        <v>591</v>
      </c>
      <c r="C373" s="15">
        <v>45727</v>
      </c>
      <c r="D373" s="15">
        <f>WORKDAY(AR_age_category!$C373,$J$1)</f>
        <v>45769</v>
      </c>
      <c r="E373" s="16">
        <v>6667.79</v>
      </c>
      <c r="F373" s="21">
        <f ca="1">IF(AR_table[[#This Row],[due_date]]&gt;=TODAY(),0,NETWORKDAYS(AR_table[[#This Row],[due_date]],TODAY()))</f>
        <v>206</v>
      </c>
      <c r="G373" s="4" t="str">
        <f ca="1">VLOOKUP(AR_age_category!$F373,Table4[#All],2)</f>
        <v>&gt;90</v>
      </c>
    </row>
    <row r="374" spans="1:7" x14ac:dyDescent="0.3">
      <c r="A374" s="14" t="s">
        <v>364</v>
      </c>
      <c r="B374" s="4" t="s">
        <v>592</v>
      </c>
      <c r="C374" s="15">
        <v>45958</v>
      </c>
      <c r="D374" s="15">
        <f>WORKDAY(AR_age_category!$C374,$J$1)</f>
        <v>46000</v>
      </c>
      <c r="E374" s="16">
        <v>3429.97</v>
      </c>
      <c r="F374" s="21">
        <f ca="1">IF(AR_table[[#This Row],[due_date]]&gt;=TODAY(),0,NETWORKDAYS(AR_table[[#This Row],[due_date]],TODAY()))</f>
        <v>41</v>
      </c>
      <c r="G374" s="4" t="str">
        <f ca="1">VLOOKUP(AR_age_category!$F374,Table4[#All],2)</f>
        <v>31-60</v>
      </c>
    </row>
    <row r="375" spans="1:7" x14ac:dyDescent="0.3">
      <c r="A375" s="11" t="s">
        <v>365</v>
      </c>
      <c r="B375" s="2" t="s">
        <v>593</v>
      </c>
      <c r="C375" s="12">
        <v>46174</v>
      </c>
      <c r="D375" s="12">
        <f>WORKDAY(AR_age_category!$C375,$J$1)</f>
        <v>46216</v>
      </c>
      <c r="E375" s="13">
        <v>2696.48</v>
      </c>
      <c r="F375" s="21">
        <f ca="1">IF(AR_table[[#This Row],[due_date]]&gt;=TODAY(),0,NETWORKDAYS(AR_table[[#This Row],[due_date]],TODAY()))</f>
        <v>0</v>
      </c>
      <c r="G375" s="2" t="str">
        <f ca="1">VLOOKUP(AR_age_category!$F375,Table4[#All],2)</f>
        <v>Not due</v>
      </c>
    </row>
    <row r="376" spans="1:7" x14ac:dyDescent="0.3">
      <c r="A376" s="14" t="s">
        <v>366</v>
      </c>
      <c r="B376" s="4" t="s">
        <v>595</v>
      </c>
      <c r="C376" s="15">
        <v>45918</v>
      </c>
      <c r="D376" s="15">
        <f>WORKDAY(AR_age_category!$C376,$J$1)</f>
        <v>45960</v>
      </c>
      <c r="E376" s="16">
        <v>2767.09</v>
      </c>
      <c r="F376" s="21">
        <f ca="1">IF(AR_table[[#This Row],[due_date]]&gt;=TODAY(),0,NETWORKDAYS(AR_table[[#This Row],[due_date]],TODAY()))</f>
        <v>69</v>
      </c>
      <c r="G376" s="4" t="str">
        <f ca="1">VLOOKUP(AR_age_category!$F376,Table4[#All],2)</f>
        <v>61-90</v>
      </c>
    </row>
    <row r="377" spans="1:7" x14ac:dyDescent="0.3">
      <c r="A377" s="14" t="s">
        <v>367</v>
      </c>
      <c r="B377" s="4" t="s">
        <v>593</v>
      </c>
      <c r="C377" s="15">
        <v>45908</v>
      </c>
      <c r="D377" s="15">
        <f>WORKDAY(AR_age_category!$C377,$J$1)</f>
        <v>45950</v>
      </c>
      <c r="E377" s="16">
        <v>2776.14</v>
      </c>
      <c r="F377" s="21">
        <f ca="1">IF(AR_table[[#This Row],[due_date]]&gt;=TODAY(),0,NETWORKDAYS(AR_table[[#This Row],[due_date]],TODAY()))</f>
        <v>77</v>
      </c>
      <c r="G377" s="4" t="str">
        <f ca="1">VLOOKUP(AR_age_category!$F377,Table4[#All],2)</f>
        <v>61-90</v>
      </c>
    </row>
    <row r="378" spans="1:7" x14ac:dyDescent="0.3">
      <c r="A378" s="11" t="s">
        <v>368</v>
      </c>
      <c r="B378" s="2" t="s">
        <v>593</v>
      </c>
      <c r="C378" s="12">
        <v>45928</v>
      </c>
      <c r="D378" s="12">
        <f>WORKDAY(AR_age_category!$C378,$J$1)</f>
        <v>45968</v>
      </c>
      <c r="E378" s="13">
        <v>4256.9399999999996</v>
      </c>
      <c r="F378" s="21">
        <f ca="1">IF(AR_table[[#This Row],[due_date]]&gt;=TODAY(),0,NETWORKDAYS(AR_table[[#This Row],[due_date]],TODAY()))</f>
        <v>63</v>
      </c>
      <c r="G378" s="2" t="str">
        <f ca="1">VLOOKUP(AR_age_category!$F378,Table4[#All],2)</f>
        <v>61-90</v>
      </c>
    </row>
    <row r="379" spans="1:7" x14ac:dyDescent="0.3">
      <c r="A379" s="14" t="s">
        <v>369</v>
      </c>
      <c r="B379" s="4" t="s">
        <v>594</v>
      </c>
      <c r="C379" s="15">
        <v>45711</v>
      </c>
      <c r="D379" s="15">
        <f>WORKDAY(AR_age_category!$C379,$J$1)</f>
        <v>45751</v>
      </c>
      <c r="E379" s="16">
        <v>7675.1</v>
      </c>
      <c r="F379" s="21">
        <f ca="1">IF(AR_table[[#This Row],[due_date]]&gt;=TODAY(),0,NETWORKDAYS(AR_table[[#This Row],[due_date]],TODAY()))</f>
        <v>218</v>
      </c>
      <c r="G379" s="4" t="str">
        <f ca="1">VLOOKUP(AR_age_category!$F379,Table4[#All],2)</f>
        <v>&gt;90</v>
      </c>
    </row>
    <row r="380" spans="1:7" x14ac:dyDescent="0.3">
      <c r="A380" s="11" t="s">
        <v>370</v>
      </c>
      <c r="B380" s="2" t="s">
        <v>593</v>
      </c>
      <c r="C380" s="12">
        <v>45690</v>
      </c>
      <c r="D380" s="12">
        <f>WORKDAY(AR_age_category!$C380,$J$1)</f>
        <v>45730</v>
      </c>
      <c r="E380" s="13">
        <v>1561.55</v>
      </c>
      <c r="F380" s="21">
        <f ca="1">IF(AR_table[[#This Row],[due_date]]&gt;=TODAY(),0,NETWORKDAYS(AR_table[[#This Row],[due_date]],TODAY()))</f>
        <v>233</v>
      </c>
      <c r="G380" s="2" t="str">
        <f ca="1">VLOOKUP(AR_age_category!$F380,Table4[#All],2)</f>
        <v>&gt;90</v>
      </c>
    </row>
    <row r="381" spans="1:7" x14ac:dyDescent="0.3">
      <c r="A381" s="11" t="s">
        <v>371</v>
      </c>
      <c r="B381" s="2" t="s">
        <v>591</v>
      </c>
      <c r="C381" s="12">
        <v>46185</v>
      </c>
      <c r="D381" s="12">
        <f>WORKDAY(AR_age_category!$C381,$J$1)</f>
        <v>46227</v>
      </c>
      <c r="E381" s="13">
        <v>5171.99</v>
      </c>
      <c r="F381" s="21">
        <f ca="1">IF(AR_table[[#This Row],[due_date]]&gt;=TODAY(),0,NETWORKDAYS(AR_table[[#This Row],[due_date]],TODAY()))</f>
        <v>0</v>
      </c>
      <c r="G381" s="2" t="str">
        <f ca="1">VLOOKUP(AR_age_category!$F381,Table4[#All],2)</f>
        <v>Not due</v>
      </c>
    </row>
    <row r="382" spans="1:7" x14ac:dyDescent="0.3">
      <c r="A382" s="14" t="s">
        <v>372</v>
      </c>
      <c r="B382" s="4" t="s">
        <v>592</v>
      </c>
      <c r="C382" s="15">
        <v>45956</v>
      </c>
      <c r="D382" s="15">
        <f>WORKDAY(AR_age_category!$C382,$J$1)</f>
        <v>45996</v>
      </c>
      <c r="E382" s="16">
        <v>6132.23</v>
      </c>
      <c r="F382" s="21">
        <f ca="1">IF(AR_table[[#This Row],[due_date]]&gt;=TODAY(),0,NETWORKDAYS(AR_table[[#This Row],[due_date]],TODAY()))</f>
        <v>43</v>
      </c>
      <c r="G382" s="4" t="str">
        <f ca="1">VLOOKUP(AR_age_category!$F382,Table4[#All],2)</f>
        <v>31-60</v>
      </c>
    </row>
    <row r="383" spans="1:7" x14ac:dyDescent="0.3">
      <c r="A383" s="11" t="s">
        <v>373</v>
      </c>
      <c r="B383" s="2" t="s">
        <v>595</v>
      </c>
      <c r="C383" s="12">
        <v>45845</v>
      </c>
      <c r="D383" s="12">
        <f>WORKDAY(AR_age_category!$C383,$J$1)</f>
        <v>45887</v>
      </c>
      <c r="E383" s="13">
        <v>5228.9399999999996</v>
      </c>
      <c r="F383" s="21">
        <f ca="1">IF(AR_table[[#This Row],[due_date]]&gt;=TODAY(),0,NETWORKDAYS(AR_table[[#This Row],[due_date]],TODAY()))</f>
        <v>122</v>
      </c>
      <c r="G383" s="2" t="str">
        <f ca="1">VLOOKUP(AR_age_category!$F383,Table4[#All],2)</f>
        <v>&gt;90</v>
      </c>
    </row>
    <row r="384" spans="1:7" x14ac:dyDescent="0.3">
      <c r="A384" s="14" t="s">
        <v>374</v>
      </c>
      <c r="B384" s="4" t="s">
        <v>592</v>
      </c>
      <c r="C384" s="15">
        <v>45815</v>
      </c>
      <c r="D384" s="15">
        <f>WORKDAY(AR_age_category!$C384,$J$1)</f>
        <v>45856</v>
      </c>
      <c r="E384" s="16">
        <v>2406.41</v>
      </c>
      <c r="F384" s="21">
        <f ca="1">IF(AR_table[[#This Row],[due_date]]&gt;=TODAY(),0,NETWORKDAYS(AR_table[[#This Row],[due_date]],TODAY()))</f>
        <v>143</v>
      </c>
      <c r="G384" s="4" t="str">
        <f ca="1">VLOOKUP(AR_age_category!$F384,Table4[#All],2)</f>
        <v>&gt;90</v>
      </c>
    </row>
    <row r="385" spans="1:7" x14ac:dyDescent="0.3">
      <c r="A385" s="11" t="s">
        <v>375</v>
      </c>
      <c r="B385" s="2" t="s">
        <v>593</v>
      </c>
      <c r="C385" s="12">
        <v>45723</v>
      </c>
      <c r="D385" s="12">
        <f>WORKDAY(AR_age_category!$C385,$J$1)</f>
        <v>45765</v>
      </c>
      <c r="E385" s="13">
        <v>7118.9</v>
      </c>
      <c r="F385" s="21">
        <f ca="1">IF(AR_table[[#This Row],[due_date]]&gt;=TODAY(),0,NETWORKDAYS(AR_table[[#This Row],[due_date]],TODAY()))</f>
        <v>208</v>
      </c>
      <c r="G385" s="2" t="str">
        <f ca="1">VLOOKUP(AR_age_category!$F385,Table4[#All],2)</f>
        <v>&gt;90</v>
      </c>
    </row>
    <row r="386" spans="1:7" x14ac:dyDescent="0.3">
      <c r="A386" s="14" t="s">
        <v>376</v>
      </c>
      <c r="B386" s="4" t="s">
        <v>591</v>
      </c>
      <c r="C386" s="15">
        <v>46201</v>
      </c>
      <c r="D386" s="15">
        <f>WORKDAY(AR_age_category!$C386,$J$1)</f>
        <v>46241</v>
      </c>
      <c r="E386" s="16">
        <v>2548.35</v>
      </c>
      <c r="F386" s="21">
        <f ca="1">IF(AR_table[[#This Row],[due_date]]&gt;=TODAY(),0,NETWORKDAYS(AR_table[[#This Row],[due_date]],TODAY()))</f>
        <v>0</v>
      </c>
      <c r="G386" s="4" t="str">
        <f ca="1">VLOOKUP(AR_age_category!$F386,Table4[#All],2)</f>
        <v>Not due</v>
      </c>
    </row>
    <row r="387" spans="1:7" x14ac:dyDescent="0.3">
      <c r="A387" s="11" t="s">
        <v>377</v>
      </c>
      <c r="B387" s="2" t="s">
        <v>594</v>
      </c>
      <c r="C387" s="12">
        <v>45843</v>
      </c>
      <c r="D387" s="12">
        <f>WORKDAY(AR_age_category!$C387,$J$1)</f>
        <v>45884</v>
      </c>
      <c r="E387" s="13">
        <v>5346.99</v>
      </c>
      <c r="F387" s="21">
        <f ca="1">IF(AR_table[[#This Row],[due_date]]&gt;=TODAY(),0,NETWORKDAYS(AR_table[[#This Row],[due_date]],TODAY()))</f>
        <v>123</v>
      </c>
      <c r="G387" s="2" t="str">
        <f ca="1">VLOOKUP(AR_age_category!$F387,Table4[#All],2)</f>
        <v>&gt;90</v>
      </c>
    </row>
    <row r="388" spans="1:7" x14ac:dyDescent="0.3">
      <c r="A388" s="11" t="s">
        <v>378</v>
      </c>
      <c r="B388" s="2" t="s">
        <v>591</v>
      </c>
      <c r="C388" s="12">
        <v>45714</v>
      </c>
      <c r="D388" s="12">
        <f>WORKDAY(AR_age_category!$C388,$J$1)</f>
        <v>45756</v>
      </c>
      <c r="E388" s="13">
        <v>332.76</v>
      </c>
      <c r="F388" s="21">
        <f ca="1">IF(AR_table[[#This Row],[due_date]]&gt;=TODAY(),0,NETWORKDAYS(AR_table[[#This Row],[due_date]],TODAY()))</f>
        <v>215</v>
      </c>
      <c r="G388" s="2" t="str">
        <f ca="1">VLOOKUP(AR_age_category!$F388,Table4[#All],2)</f>
        <v>&gt;90</v>
      </c>
    </row>
    <row r="389" spans="1:7" x14ac:dyDescent="0.3">
      <c r="A389" s="11" t="s">
        <v>379</v>
      </c>
      <c r="B389" s="2" t="s">
        <v>591</v>
      </c>
      <c r="C389" s="12">
        <v>46057</v>
      </c>
      <c r="D389" s="12">
        <f>WORKDAY(AR_age_category!$C389,$J$1)</f>
        <v>46099</v>
      </c>
      <c r="E389" s="13">
        <v>1607</v>
      </c>
      <c r="F389" s="21">
        <f ca="1">IF(AR_table[[#This Row],[due_date]]&gt;=TODAY(),0,NETWORKDAYS(AR_table[[#This Row],[due_date]],TODAY()))</f>
        <v>0</v>
      </c>
      <c r="G389" s="2" t="str">
        <f ca="1">VLOOKUP(AR_age_category!$F389,Table4[#All],2)</f>
        <v>Not due</v>
      </c>
    </row>
    <row r="390" spans="1:7" x14ac:dyDescent="0.3">
      <c r="A390" s="14" t="s">
        <v>380</v>
      </c>
      <c r="B390" s="4" t="s">
        <v>591</v>
      </c>
      <c r="C390" s="15">
        <v>45664</v>
      </c>
      <c r="D390" s="15">
        <f>WORKDAY(AR_age_category!$C390,$J$1)</f>
        <v>45706</v>
      </c>
      <c r="E390" s="16">
        <v>2177.16</v>
      </c>
      <c r="F390" s="21">
        <f ca="1">IF(AR_table[[#This Row],[due_date]]&gt;=TODAY(),0,NETWORKDAYS(AR_table[[#This Row],[due_date]],TODAY()))</f>
        <v>251</v>
      </c>
      <c r="G390" s="4" t="str">
        <f ca="1">VLOOKUP(AR_age_category!$F390,Table4[#All],2)</f>
        <v>&gt;90</v>
      </c>
    </row>
    <row r="391" spans="1:7" x14ac:dyDescent="0.3">
      <c r="A391" s="14" t="s">
        <v>381</v>
      </c>
      <c r="B391" s="4" t="s">
        <v>593</v>
      </c>
      <c r="C391" s="15">
        <v>46126</v>
      </c>
      <c r="D391" s="15">
        <f>WORKDAY(AR_age_category!$C391,$J$1)</f>
        <v>46168</v>
      </c>
      <c r="E391" s="16">
        <v>1242.32</v>
      </c>
      <c r="F391" s="21">
        <f ca="1">IF(AR_table[[#This Row],[due_date]]&gt;=TODAY(),0,NETWORKDAYS(AR_table[[#This Row],[due_date]],TODAY()))</f>
        <v>0</v>
      </c>
      <c r="G391" s="4" t="str">
        <f ca="1">VLOOKUP(AR_age_category!$F391,Table4[#All],2)</f>
        <v>Not due</v>
      </c>
    </row>
    <row r="392" spans="1:7" x14ac:dyDescent="0.3">
      <c r="A392" s="11" t="s">
        <v>382</v>
      </c>
      <c r="B392" s="2" t="s">
        <v>593</v>
      </c>
      <c r="C392" s="12">
        <v>46041</v>
      </c>
      <c r="D392" s="12">
        <f>WORKDAY(AR_age_category!$C392,$J$1)</f>
        <v>46083</v>
      </c>
      <c r="E392" s="13">
        <v>4115.6400000000003</v>
      </c>
      <c r="F392" s="21">
        <f ca="1">IF(AR_table[[#This Row],[due_date]]&gt;=TODAY(),0,NETWORKDAYS(AR_table[[#This Row],[due_date]],TODAY()))</f>
        <v>0</v>
      </c>
      <c r="G392" s="2" t="str">
        <f ca="1">VLOOKUP(AR_age_category!$F392,Table4[#All],2)</f>
        <v>Not due</v>
      </c>
    </row>
    <row r="393" spans="1:7" x14ac:dyDescent="0.3">
      <c r="A393" s="14" t="s">
        <v>383</v>
      </c>
      <c r="B393" s="4" t="s">
        <v>592</v>
      </c>
      <c r="C393" s="15">
        <v>45970</v>
      </c>
      <c r="D393" s="15">
        <f>WORKDAY(AR_age_category!$C393,$J$1)</f>
        <v>46010</v>
      </c>
      <c r="E393" s="16">
        <v>7260.77</v>
      </c>
      <c r="F393" s="21">
        <f ca="1">IF(AR_table[[#This Row],[due_date]]&gt;=TODAY(),0,NETWORKDAYS(AR_table[[#This Row],[due_date]],TODAY()))</f>
        <v>33</v>
      </c>
      <c r="G393" s="4" t="str">
        <f ca="1">VLOOKUP(AR_age_category!$F393,Table4[#All],2)</f>
        <v>31-60</v>
      </c>
    </row>
    <row r="394" spans="1:7" x14ac:dyDescent="0.3">
      <c r="A394" s="14" t="s">
        <v>384</v>
      </c>
      <c r="B394" s="4" t="s">
        <v>595</v>
      </c>
      <c r="C394" s="15">
        <v>45699</v>
      </c>
      <c r="D394" s="15">
        <f>WORKDAY(AR_age_category!$C394,$J$1)</f>
        <v>45741</v>
      </c>
      <c r="E394" s="16">
        <v>6294.93</v>
      </c>
      <c r="F394" s="21">
        <f ca="1">IF(AR_table[[#This Row],[due_date]]&gt;=TODAY(),0,NETWORKDAYS(AR_table[[#This Row],[due_date]],TODAY()))</f>
        <v>226</v>
      </c>
      <c r="G394" s="4" t="str">
        <f ca="1">VLOOKUP(AR_age_category!$F394,Table4[#All],2)</f>
        <v>&gt;90</v>
      </c>
    </row>
    <row r="395" spans="1:7" x14ac:dyDescent="0.3">
      <c r="A395" s="11" t="s">
        <v>385</v>
      </c>
      <c r="B395" s="2" t="s">
        <v>592</v>
      </c>
      <c r="C395" s="12">
        <v>45984</v>
      </c>
      <c r="D395" s="12">
        <f>WORKDAY(AR_age_category!$C395,$J$1)</f>
        <v>46024</v>
      </c>
      <c r="E395" s="13">
        <v>4468.68</v>
      </c>
      <c r="F395" s="21">
        <f ca="1">IF(AR_table[[#This Row],[due_date]]&gt;=TODAY(),0,NETWORKDAYS(AR_table[[#This Row],[due_date]],TODAY()))</f>
        <v>23</v>
      </c>
      <c r="G395" s="2" t="str">
        <f ca="1">VLOOKUP(AR_age_category!$F395,Table4[#All],2)</f>
        <v>1-30</v>
      </c>
    </row>
    <row r="396" spans="1:7" x14ac:dyDescent="0.3">
      <c r="A396" s="14" t="s">
        <v>386</v>
      </c>
      <c r="B396" s="4" t="s">
        <v>592</v>
      </c>
      <c r="C396" s="15">
        <v>45954</v>
      </c>
      <c r="D396" s="15">
        <f>WORKDAY(AR_age_category!$C396,$J$1)</f>
        <v>45996</v>
      </c>
      <c r="E396" s="16">
        <v>240.09</v>
      </c>
      <c r="F396" s="21">
        <f ca="1">IF(AR_table[[#This Row],[due_date]]&gt;=TODAY(),0,NETWORKDAYS(AR_table[[#This Row],[due_date]],TODAY()))</f>
        <v>43</v>
      </c>
      <c r="G396" s="4" t="str">
        <f ca="1">VLOOKUP(AR_age_category!$F396,Table4[#All],2)</f>
        <v>31-60</v>
      </c>
    </row>
    <row r="397" spans="1:7" x14ac:dyDescent="0.3">
      <c r="A397" s="14" t="s">
        <v>387</v>
      </c>
      <c r="B397" s="4" t="s">
        <v>592</v>
      </c>
      <c r="C397" s="15">
        <v>45875</v>
      </c>
      <c r="D397" s="15">
        <f>WORKDAY(AR_age_category!$C397,$J$1)</f>
        <v>45917</v>
      </c>
      <c r="E397" s="16">
        <v>5527.3</v>
      </c>
      <c r="F397" s="21">
        <f ca="1">IF(AR_table[[#This Row],[due_date]]&gt;=TODAY(),0,NETWORKDAYS(AR_table[[#This Row],[due_date]],TODAY()))</f>
        <v>100</v>
      </c>
      <c r="G397" s="4" t="str">
        <f ca="1">VLOOKUP(AR_age_category!$F397,Table4[#All],2)</f>
        <v>&gt;90</v>
      </c>
    </row>
    <row r="398" spans="1:7" x14ac:dyDescent="0.3">
      <c r="A398" s="11" t="s">
        <v>388</v>
      </c>
      <c r="B398" s="2" t="s">
        <v>593</v>
      </c>
      <c r="C398" s="12">
        <v>45982</v>
      </c>
      <c r="D398" s="12">
        <f>WORKDAY(AR_age_category!$C398,$J$1)</f>
        <v>46024</v>
      </c>
      <c r="E398" s="13">
        <v>3629.15</v>
      </c>
      <c r="F398" s="21">
        <f ca="1">IF(AR_table[[#This Row],[due_date]]&gt;=TODAY(),0,NETWORKDAYS(AR_table[[#This Row],[due_date]],TODAY()))</f>
        <v>23</v>
      </c>
      <c r="G398" s="2" t="str">
        <f ca="1">VLOOKUP(AR_age_category!$F398,Table4[#All],2)</f>
        <v>1-30</v>
      </c>
    </row>
    <row r="399" spans="1:7" x14ac:dyDescent="0.3">
      <c r="A399" s="14" t="s">
        <v>389</v>
      </c>
      <c r="B399" s="4" t="s">
        <v>594</v>
      </c>
      <c r="C399" s="15">
        <v>45899</v>
      </c>
      <c r="D399" s="15">
        <f>WORKDAY(AR_age_category!$C399,$J$1)</f>
        <v>45940</v>
      </c>
      <c r="E399" s="16">
        <v>1194.05</v>
      </c>
      <c r="F399" s="21">
        <f ca="1">IF(AR_table[[#This Row],[due_date]]&gt;=TODAY(),0,NETWORKDAYS(AR_table[[#This Row],[due_date]],TODAY()))</f>
        <v>83</v>
      </c>
      <c r="G399" s="4" t="str">
        <f ca="1">VLOOKUP(AR_age_category!$F399,Table4[#All],2)</f>
        <v>61-90</v>
      </c>
    </row>
    <row r="400" spans="1:7" x14ac:dyDescent="0.3">
      <c r="A400" s="14" t="s">
        <v>390</v>
      </c>
      <c r="B400" s="4" t="s">
        <v>595</v>
      </c>
      <c r="C400" s="15">
        <v>45860</v>
      </c>
      <c r="D400" s="15">
        <f>WORKDAY(AR_age_category!$C400,$J$1)</f>
        <v>45902</v>
      </c>
      <c r="E400" s="16">
        <v>5091.8900000000003</v>
      </c>
      <c r="F400" s="21">
        <f ca="1">IF(AR_table[[#This Row],[due_date]]&gt;=TODAY(),0,NETWORKDAYS(AR_table[[#This Row],[due_date]],TODAY()))</f>
        <v>111</v>
      </c>
      <c r="G400" s="4" t="str">
        <f ca="1">VLOOKUP(AR_age_category!$F400,Table4[#All],2)</f>
        <v>&gt;90</v>
      </c>
    </row>
    <row r="401" spans="1:7" x14ac:dyDescent="0.3">
      <c r="A401" s="11" t="s">
        <v>391</v>
      </c>
      <c r="B401" s="2" t="s">
        <v>593</v>
      </c>
      <c r="C401" s="12">
        <v>45877</v>
      </c>
      <c r="D401" s="12">
        <f>WORKDAY(AR_age_category!$C401,$J$1)</f>
        <v>45919</v>
      </c>
      <c r="E401" s="13">
        <v>6072.8</v>
      </c>
      <c r="F401" s="21">
        <f ca="1">IF(AR_table[[#This Row],[due_date]]&gt;=TODAY(),0,NETWORKDAYS(AR_table[[#This Row],[due_date]],TODAY()))</f>
        <v>98</v>
      </c>
      <c r="G401" s="2" t="str">
        <f ca="1">VLOOKUP(AR_age_category!$F401,Table4[#All],2)</f>
        <v>&gt;90</v>
      </c>
    </row>
    <row r="402" spans="1:7" x14ac:dyDescent="0.3">
      <c r="A402" s="14" t="s">
        <v>392</v>
      </c>
      <c r="B402" s="4" t="s">
        <v>594</v>
      </c>
      <c r="C402" s="15">
        <v>45845</v>
      </c>
      <c r="D402" s="15">
        <f>WORKDAY(AR_age_category!$C402,$J$1)</f>
        <v>45887</v>
      </c>
      <c r="E402" s="16">
        <v>4904.74</v>
      </c>
      <c r="F402" s="21">
        <f ca="1">IF(AR_table[[#This Row],[due_date]]&gt;=TODAY(),0,NETWORKDAYS(AR_table[[#This Row],[due_date]],TODAY()))</f>
        <v>122</v>
      </c>
      <c r="G402" s="4" t="str">
        <f ca="1">VLOOKUP(AR_age_category!$F402,Table4[#All],2)</f>
        <v>&gt;90</v>
      </c>
    </row>
    <row r="403" spans="1:7" x14ac:dyDescent="0.3">
      <c r="A403" s="14" t="s">
        <v>393</v>
      </c>
      <c r="B403" s="4" t="s">
        <v>593</v>
      </c>
      <c r="C403" s="15">
        <v>45705</v>
      </c>
      <c r="D403" s="15">
        <f>WORKDAY(AR_age_category!$C403,$J$1)</f>
        <v>45747</v>
      </c>
      <c r="E403" s="16">
        <v>4297.46</v>
      </c>
      <c r="F403" s="21">
        <f ca="1">IF(AR_table[[#This Row],[due_date]]&gt;=TODAY(),0,NETWORKDAYS(AR_table[[#This Row],[due_date]],TODAY()))</f>
        <v>222</v>
      </c>
      <c r="G403" s="4" t="str">
        <f ca="1">VLOOKUP(AR_age_category!$F403,Table4[#All],2)</f>
        <v>&gt;90</v>
      </c>
    </row>
    <row r="404" spans="1:7" x14ac:dyDescent="0.3">
      <c r="A404" s="11" t="s">
        <v>394</v>
      </c>
      <c r="B404" s="2" t="s">
        <v>591</v>
      </c>
      <c r="C404" s="12">
        <v>45929</v>
      </c>
      <c r="D404" s="12">
        <f>WORKDAY(AR_age_category!$C404,$J$1)</f>
        <v>45971</v>
      </c>
      <c r="E404" s="13">
        <v>6265.82</v>
      </c>
      <c r="F404" s="21">
        <f ca="1">IF(AR_table[[#This Row],[due_date]]&gt;=TODAY(),0,NETWORKDAYS(AR_table[[#This Row],[due_date]],TODAY()))</f>
        <v>62</v>
      </c>
      <c r="G404" s="2" t="str">
        <f ca="1">VLOOKUP(AR_age_category!$F404,Table4[#All],2)</f>
        <v>61-90</v>
      </c>
    </row>
    <row r="405" spans="1:7" x14ac:dyDescent="0.3">
      <c r="A405" s="11" t="s">
        <v>395</v>
      </c>
      <c r="B405" s="2" t="s">
        <v>591</v>
      </c>
      <c r="C405" s="12">
        <v>45828</v>
      </c>
      <c r="D405" s="12">
        <f>WORKDAY(AR_age_category!$C405,$J$1)</f>
        <v>45870</v>
      </c>
      <c r="E405" s="13">
        <v>2594.04</v>
      </c>
      <c r="F405" s="21">
        <f ca="1">IF(AR_table[[#This Row],[due_date]]&gt;=TODAY(),0,NETWORKDAYS(AR_table[[#This Row],[due_date]],TODAY()))</f>
        <v>133</v>
      </c>
      <c r="G405" s="2" t="str">
        <f ca="1">VLOOKUP(AR_age_category!$F405,Table4[#All],2)</f>
        <v>&gt;90</v>
      </c>
    </row>
    <row r="406" spans="1:7" x14ac:dyDescent="0.3">
      <c r="A406" s="14" t="s">
        <v>396</v>
      </c>
      <c r="B406" s="4" t="s">
        <v>594</v>
      </c>
      <c r="C406" s="15">
        <v>45672</v>
      </c>
      <c r="D406" s="15">
        <f>WORKDAY(AR_age_category!$C406,$J$1)</f>
        <v>45714</v>
      </c>
      <c r="E406" s="16">
        <v>3492.88</v>
      </c>
      <c r="F406" s="21">
        <f ca="1">IF(AR_table[[#This Row],[due_date]]&gt;=TODAY(),0,NETWORKDAYS(AR_table[[#This Row],[due_date]],TODAY()))</f>
        <v>245</v>
      </c>
      <c r="G406" s="4" t="str">
        <f ca="1">VLOOKUP(AR_age_category!$F406,Table4[#All],2)</f>
        <v>&gt;90</v>
      </c>
    </row>
    <row r="407" spans="1:7" x14ac:dyDescent="0.3">
      <c r="A407" s="11" t="s">
        <v>397</v>
      </c>
      <c r="B407" s="2" t="s">
        <v>591</v>
      </c>
      <c r="C407" s="12">
        <v>46143</v>
      </c>
      <c r="D407" s="12">
        <f>WORKDAY(AR_age_category!$C407,$J$1)</f>
        <v>46185</v>
      </c>
      <c r="E407" s="13">
        <v>6733.21</v>
      </c>
      <c r="F407" s="21">
        <f ca="1">IF(AR_table[[#This Row],[due_date]]&gt;=TODAY(),0,NETWORKDAYS(AR_table[[#This Row],[due_date]],TODAY()))</f>
        <v>0</v>
      </c>
      <c r="G407" s="2" t="str">
        <f ca="1">VLOOKUP(AR_age_category!$F407,Table4[#All],2)</f>
        <v>Not due</v>
      </c>
    </row>
    <row r="408" spans="1:7" x14ac:dyDescent="0.3">
      <c r="A408" s="14" t="s">
        <v>398</v>
      </c>
      <c r="B408" s="4" t="s">
        <v>595</v>
      </c>
      <c r="C408" s="15">
        <v>45671</v>
      </c>
      <c r="D408" s="15">
        <f>WORKDAY(AR_age_category!$C408,$J$1)</f>
        <v>45713</v>
      </c>
      <c r="E408" s="16">
        <v>392.35</v>
      </c>
      <c r="F408" s="21">
        <f ca="1">IF(AR_table[[#This Row],[due_date]]&gt;=TODAY(),0,NETWORKDAYS(AR_table[[#This Row],[due_date]],TODAY()))</f>
        <v>246</v>
      </c>
      <c r="G408" s="4" t="str">
        <f ca="1">VLOOKUP(AR_age_category!$F408,Table4[#All],2)</f>
        <v>&gt;90</v>
      </c>
    </row>
    <row r="409" spans="1:7" x14ac:dyDescent="0.3">
      <c r="A409" s="11" t="s">
        <v>399</v>
      </c>
      <c r="B409" s="2" t="s">
        <v>593</v>
      </c>
      <c r="C409" s="12">
        <v>45740</v>
      </c>
      <c r="D409" s="12">
        <f>WORKDAY(AR_age_category!$C409,$J$1)</f>
        <v>45782</v>
      </c>
      <c r="E409" s="13">
        <v>372.39</v>
      </c>
      <c r="F409" s="21">
        <f ca="1">IF(AR_table[[#This Row],[due_date]]&gt;=TODAY(),0,NETWORKDAYS(AR_table[[#This Row],[due_date]],TODAY()))</f>
        <v>197</v>
      </c>
      <c r="G409" s="2" t="str">
        <f ca="1">VLOOKUP(AR_age_category!$F409,Table4[#All],2)</f>
        <v>&gt;90</v>
      </c>
    </row>
    <row r="410" spans="1:7" x14ac:dyDescent="0.3">
      <c r="A410" s="14" t="s">
        <v>400</v>
      </c>
      <c r="B410" s="4" t="s">
        <v>595</v>
      </c>
      <c r="C410" s="15">
        <v>45664</v>
      </c>
      <c r="D410" s="15">
        <f>WORKDAY(AR_age_category!$C410,$J$1)</f>
        <v>45706</v>
      </c>
      <c r="E410" s="16">
        <v>5066.4799999999996</v>
      </c>
      <c r="F410" s="21">
        <f ca="1">IF(AR_table[[#This Row],[due_date]]&gt;=TODAY(),0,NETWORKDAYS(AR_table[[#This Row],[due_date]],TODAY()))</f>
        <v>251</v>
      </c>
      <c r="G410" s="4" t="str">
        <f ca="1">VLOOKUP(AR_age_category!$F410,Table4[#All],2)</f>
        <v>&gt;90</v>
      </c>
    </row>
    <row r="411" spans="1:7" x14ac:dyDescent="0.3">
      <c r="A411" s="11" t="s">
        <v>401</v>
      </c>
      <c r="B411" s="2" t="s">
        <v>591</v>
      </c>
      <c r="C411" s="12">
        <v>46169</v>
      </c>
      <c r="D411" s="12">
        <f>WORKDAY(AR_age_category!$C411,$J$1)</f>
        <v>46211</v>
      </c>
      <c r="E411" s="13">
        <v>2397.25</v>
      </c>
      <c r="F411" s="21">
        <f ca="1">IF(AR_table[[#This Row],[due_date]]&gt;=TODAY(),0,NETWORKDAYS(AR_table[[#This Row],[due_date]],TODAY()))</f>
        <v>0</v>
      </c>
      <c r="G411" s="2" t="str">
        <f ca="1">VLOOKUP(AR_age_category!$F411,Table4[#All],2)</f>
        <v>Not due</v>
      </c>
    </row>
    <row r="412" spans="1:7" x14ac:dyDescent="0.3">
      <c r="A412" s="14" t="s">
        <v>402</v>
      </c>
      <c r="B412" s="4" t="s">
        <v>592</v>
      </c>
      <c r="C412" s="15">
        <v>45851</v>
      </c>
      <c r="D412" s="15">
        <f>WORKDAY(AR_age_category!$C412,$J$1)</f>
        <v>45891</v>
      </c>
      <c r="E412" s="16">
        <v>1999.63</v>
      </c>
      <c r="F412" s="21">
        <f ca="1">IF(AR_table[[#This Row],[due_date]]&gt;=TODAY(),0,NETWORKDAYS(AR_table[[#This Row],[due_date]],TODAY()))</f>
        <v>118</v>
      </c>
      <c r="G412" s="4" t="str">
        <f ca="1">VLOOKUP(AR_age_category!$F412,Table4[#All],2)</f>
        <v>&gt;90</v>
      </c>
    </row>
    <row r="413" spans="1:7" x14ac:dyDescent="0.3">
      <c r="A413" s="14" t="s">
        <v>403</v>
      </c>
      <c r="B413" s="4" t="s">
        <v>593</v>
      </c>
      <c r="C413" s="15">
        <v>45767</v>
      </c>
      <c r="D413" s="15">
        <f>WORKDAY(AR_age_category!$C413,$J$1)</f>
        <v>45807</v>
      </c>
      <c r="E413" s="16">
        <v>594.48</v>
      </c>
      <c r="F413" s="21">
        <f ca="1">IF(AR_table[[#This Row],[due_date]]&gt;=TODAY(),0,NETWORKDAYS(AR_table[[#This Row],[due_date]],TODAY()))</f>
        <v>178</v>
      </c>
      <c r="G413" s="4" t="str">
        <f ca="1">VLOOKUP(AR_age_category!$F413,Table4[#All],2)</f>
        <v>&gt;90</v>
      </c>
    </row>
    <row r="414" spans="1:7" x14ac:dyDescent="0.3">
      <c r="A414" s="11" t="s">
        <v>404</v>
      </c>
      <c r="B414" s="2" t="s">
        <v>592</v>
      </c>
      <c r="C414" s="12">
        <v>45912</v>
      </c>
      <c r="D414" s="12">
        <f>WORKDAY(AR_age_category!$C414,$J$1)</f>
        <v>45954</v>
      </c>
      <c r="E414" s="13">
        <v>6539.17</v>
      </c>
      <c r="F414" s="21">
        <f ca="1">IF(AR_table[[#This Row],[due_date]]&gt;=TODAY(),0,NETWORKDAYS(AR_table[[#This Row],[due_date]],TODAY()))</f>
        <v>73</v>
      </c>
      <c r="G414" s="2" t="str">
        <f ca="1">VLOOKUP(AR_age_category!$F414,Table4[#All],2)</f>
        <v>61-90</v>
      </c>
    </row>
    <row r="415" spans="1:7" x14ac:dyDescent="0.3">
      <c r="A415" s="14" t="s">
        <v>405</v>
      </c>
      <c r="B415" s="4" t="s">
        <v>592</v>
      </c>
      <c r="C415" s="15">
        <v>45749</v>
      </c>
      <c r="D415" s="15">
        <f>WORKDAY(AR_age_category!$C415,$J$1)</f>
        <v>45791</v>
      </c>
      <c r="E415" s="16">
        <v>6898.03</v>
      </c>
      <c r="F415" s="21">
        <f ca="1">IF(AR_table[[#This Row],[due_date]]&gt;=TODAY(),0,NETWORKDAYS(AR_table[[#This Row],[due_date]],TODAY()))</f>
        <v>190</v>
      </c>
      <c r="G415" s="4" t="str">
        <f ca="1">VLOOKUP(AR_age_category!$F415,Table4[#All],2)</f>
        <v>&gt;90</v>
      </c>
    </row>
    <row r="416" spans="1:7" x14ac:dyDescent="0.3">
      <c r="A416" s="11" t="s">
        <v>406</v>
      </c>
      <c r="B416" s="2" t="s">
        <v>591</v>
      </c>
      <c r="C416" s="12">
        <v>45670</v>
      </c>
      <c r="D416" s="12">
        <f>WORKDAY(AR_age_category!$C416,$J$1)</f>
        <v>45712</v>
      </c>
      <c r="E416" s="13">
        <v>1278.8699999999999</v>
      </c>
      <c r="F416" s="21">
        <f ca="1">IF(AR_table[[#This Row],[due_date]]&gt;=TODAY(),0,NETWORKDAYS(AR_table[[#This Row],[due_date]],TODAY()))</f>
        <v>247</v>
      </c>
      <c r="G416" s="2" t="str">
        <f ca="1">VLOOKUP(AR_age_category!$F416,Table4[#All],2)</f>
        <v>&gt;90</v>
      </c>
    </row>
    <row r="417" spans="1:7" x14ac:dyDescent="0.3">
      <c r="A417" s="11" t="s">
        <v>407</v>
      </c>
      <c r="B417" s="2" t="s">
        <v>591</v>
      </c>
      <c r="C417" s="12">
        <v>45951</v>
      </c>
      <c r="D417" s="12">
        <f>WORKDAY(AR_age_category!$C417,$J$1)</f>
        <v>45993</v>
      </c>
      <c r="E417" s="13">
        <v>2262.88</v>
      </c>
      <c r="F417" s="21">
        <f ca="1">IF(AR_table[[#This Row],[due_date]]&gt;=TODAY(),0,NETWORKDAYS(AR_table[[#This Row],[due_date]],TODAY()))</f>
        <v>46</v>
      </c>
      <c r="G417" s="2" t="str">
        <f ca="1">VLOOKUP(AR_age_category!$F417,Table4[#All],2)</f>
        <v>31-60</v>
      </c>
    </row>
    <row r="418" spans="1:7" x14ac:dyDescent="0.3">
      <c r="A418" s="14" t="s">
        <v>408</v>
      </c>
      <c r="B418" s="4" t="s">
        <v>594</v>
      </c>
      <c r="C418" s="15">
        <v>45828</v>
      </c>
      <c r="D418" s="15">
        <f>WORKDAY(AR_age_category!$C418,$J$1)</f>
        <v>45870</v>
      </c>
      <c r="E418" s="16">
        <v>839.79</v>
      </c>
      <c r="F418" s="21">
        <f ca="1">IF(AR_table[[#This Row],[due_date]]&gt;=TODAY(),0,NETWORKDAYS(AR_table[[#This Row],[due_date]],TODAY()))</f>
        <v>133</v>
      </c>
      <c r="G418" s="4" t="str">
        <f ca="1">VLOOKUP(AR_age_category!$F418,Table4[#All],2)</f>
        <v>&gt;90</v>
      </c>
    </row>
    <row r="419" spans="1:7" x14ac:dyDescent="0.3">
      <c r="A419" s="11" t="s">
        <v>409</v>
      </c>
      <c r="B419" s="2" t="s">
        <v>595</v>
      </c>
      <c r="C419" s="12">
        <v>45939</v>
      </c>
      <c r="D419" s="12">
        <f>WORKDAY(AR_age_category!$C419,$J$1)</f>
        <v>45981</v>
      </c>
      <c r="E419" s="13">
        <v>1981.78</v>
      </c>
      <c r="F419" s="21">
        <f ca="1">IF(AR_table[[#This Row],[due_date]]&gt;=TODAY(),0,NETWORKDAYS(AR_table[[#This Row],[due_date]],TODAY()))</f>
        <v>54</v>
      </c>
      <c r="G419" s="2" t="str">
        <f ca="1">VLOOKUP(AR_age_category!$F419,Table4[#All],2)</f>
        <v>31-60</v>
      </c>
    </row>
    <row r="420" spans="1:7" x14ac:dyDescent="0.3">
      <c r="A420" s="14" t="s">
        <v>410</v>
      </c>
      <c r="B420" s="4" t="s">
        <v>591</v>
      </c>
      <c r="C420" s="15">
        <v>45779</v>
      </c>
      <c r="D420" s="15">
        <f>WORKDAY(AR_age_category!$C420,$J$1)</f>
        <v>45821</v>
      </c>
      <c r="E420" s="16">
        <v>1214.1099999999999</v>
      </c>
      <c r="F420" s="21">
        <f ca="1">IF(AR_table[[#This Row],[due_date]]&gt;=TODAY(),0,NETWORKDAYS(AR_table[[#This Row],[due_date]],TODAY()))</f>
        <v>168</v>
      </c>
      <c r="G420" s="4" t="str">
        <f ca="1">VLOOKUP(AR_age_category!$F420,Table4[#All],2)</f>
        <v>&gt;90</v>
      </c>
    </row>
    <row r="421" spans="1:7" x14ac:dyDescent="0.3">
      <c r="A421" s="14" t="s">
        <v>411</v>
      </c>
      <c r="B421" s="4" t="s">
        <v>593</v>
      </c>
      <c r="C421" s="15">
        <v>45974</v>
      </c>
      <c r="D421" s="15">
        <f>WORKDAY(AR_age_category!$C421,$J$1)</f>
        <v>46016</v>
      </c>
      <c r="E421" s="16">
        <v>7029.41</v>
      </c>
      <c r="F421" s="21">
        <f ca="1">IF(AR_table[[#This Row],[due_date]]&gt;=TODAY(),0,NETWORKDAYS(AR_table[[#This Row],[due_date]],TODAY()))</f>
        <v>29</v>
      </c>
      <c r="G421" s="4" t="str">
        <f ca="1">VLOOKUP(AR_age_category!$F421,Table4[#All],2)</f>
        <v>1-30</v>
      </c>
    </row>
    <row r="422" spans="1:7" x14ac:dyDescent="0.3">
      <c r="A422" s="11" t="s">
        <v>412</v>
      </c>
      <c r="B422" s="2" t="s">
        <v>591</v>
      </c>
      <c r="C422" s="12">
        <v>45905</v>
      </c>
      <c r="D422" s="12">
        <f>WORKDAY(AR_age_category!$C422,$J$1)</f>
        <v>45947</v>
      </c>
      <c r="E422" s="13">
        <v>4527.1099999999997</v>
      </c>
      <c r="F422" s="21">
        <f ca="1">IF(AR_table[[#This Row],[due_date]]&gt;=TODAY(),0,NETWORKDAYS(AR_table[[#This Row],[due_date]],TODAY()))</f>
        <v>78</v>
      </c>
      <c r="G422" s="2" t="str">
        <f ca="1">VLOOKUP(AR_age_category!$F422,Table4[#All],2)</f>
        <v>61-90</v>
      </c>
    </row>
    <row r="423" spans="1:7" x14ac:dyDescent="0.3">
      <c r="A423" s="14" t="s">
        <v>413</v>
      </c>
      <c r="B423" s="4" t="s">
        <v>592</v>
      </c>
      <c r="C423" s="15">
        <v>45788</v>
      </c>
      <c r="D423" s="15">
        <f>WORKDAY(AR_age_category!$C423,$J$1)</f>
        <v>45828</v>
      </c>
      <c r="E423" s="16">
        <v>6525.23</v>
      </c>
      <c r="F423" s="21">
        <f ca="1">IF(AR_table[[#This Row],[due_date]]&gt;=TODAY(),0,NETWORKDAYS(AR_table[[#This Row],[due_date]],TODAY()))</f>
        <v>163</v>
      </c>
      <c r="G423" s="4" t="str">
        <f ca="1">VLOOKUP(AR_age_category!$F423,Table4[#All],2)</f>
        <v>&gt;90</v>
      </c>
    </row>
    <row r="424" spans="1:7" x14ac:dyDescent="0.3">
      <c r="A424" s="14" t="s">
        <v>414</v>
      </c>
      <c r="B424" s="4" t="s">
        <v>595</v>
      </c>
      <c r="C424" s="15">
        <v>46072</v>
      </c>
      <c r="D424" s="15">
        <f>WORKDAY(AR_age_category!$C424,$J$1)</f>
        <v>46114</v>
      </c>
      <c r="E424" s="16">
        <v>1942.51</v>
      </c>
      <c r="F424" s="21">
        <f ca="1">IF(AR_table[[#This Row],[due_date]]&gt;=TODAY(),0,NETWORKDAYS(AR_table[[#This Row],[due_date]],TODAY()))</f>
        <v>0</v>
      </c>
      <c r="G424" s="4" t="str">
        <f ca="1">VLOOKUP(AR_age_category!$F424,Table4[#All],2)</f>
        <v>Not due</v>
      </c>
    </row>
    <row r="425" spans="1:7" x14ac:dyDescent="0.3">
      <c r="A425" s="11" t="s">
        <v>415</v>
      </c>
      <c r="B425" s="2" t="s">
        <v>591</v>
      </c>
      <c r="C425" s="12">
        <v>45972</v>
      </c>
      <c r="D425" s="12">
        <f>WORKDAY(AR_age_category!$C425,$J$1)</f>
        <v>46014</v>
      </c>
      <c r="E425" s="13">
        <v>5154.78</v>
      </c>
      <c r="F425" s="21">
        <f ca="1">IF(AR_table[[#This Row],[due_date]]&gt;=TODAY(),0,NETWORKDAYS(AR_table[[#This Row],[due_date]],TODAY()))</f>
        <v>31</v>
      </c>
      <c r="G425" s="2" t="str">
        <f ca="1">VLOOKUP(AR_age_category!$F425,Table4[#All],2)</f>
        <v>31-60</v>
      </c>
    </row>
    <row r="426" spans="1:7" x14ac:dyDescent="0.3">
      <c r="A426" s="14" t="s">
        <v>416</v>
      </c>
      <c r="B426" s="4" t="s">
        <v>593</v>
      </c>
      <c r="C426" s="15">
        <v>45857</v>
      </c>
      <c r="D426" s="15">
        <f>WORKDAY(AR_age_category!$C426,$J$1)</f>
        <v>45898</v>
      </c>
      <c r="E426" s="16">
        <v>2001.78</v>
      </c>
      <c r="F426" s="21">
        <f ca="1">IF(AR_table[[#This Row],[due_date]]&gt;=TODAY(),0,NETWORKDAYS(AR_table[[#This Row],[due_date]],TODAY()))</f>
        <v>113</v>
      </c>
      <c r="G426" s="4" t="str">
        <f ca="1">VLOOKUP(AR_age_category!$F426,Table4[#All],2)</f>
        <v>&gt;90</v>
      </c>
    </row>
    <row r="427" spans="1:7" x14ac:dyDescent="0.3">
      <c r="A427" s="11" t="s">
        <v>417</v>
      </c>
      <c r="B427" s="2" t="s">
        <v>591</v>
      </c>
      <c r="C427" s="12">
        <v>45957</v>
      </c>
      <c r="D427" s="12">
        <f>WORKDAY(AR_age_category!$C427,$J$1)</f>
        <v>45999</v>
      </c>
      <c r="E427" s="13">
        <v>2090.41</v>
      </c>
      <c r="F427" s="21">
        <f ca="1">IF(AR_table[[#This Row],[due_date]]&gt;=TODAY(),0,NETWORKDAYS(AR_table[[#This Row],[due_date]],TODAY()))</f>
        <v>42</v>
      </c>
      <c r="G427" s="2" t="str">
        <f ca="1">VLOOKUP(AR_age_category!$F427,Table4[#All],2)</f>
        <v>31-60</v>
      </c>
    </row>
    <row r="428" spans="1:7" x14ac:dyDescent="0.3">
      <c r="A428" s="14" t="s">
        <v>418</v>
      </c>
      <c r="B428" s="4" t="s">
        <v>595</v>
      </c>
      <c r="C428" s="15">
        <v>45839</v>
      </c>
      <c r="D428" s="15">
        <f>WORKDAY(AR_age_category!$C428,$J$1)</f>
        <v>45881</v>
      </c>
      <c r="E428" s="16">
        <v>7964.05</v>
      </c>
      <c r="F428" s="21">
        <f ca="1">IF(AR_table[[#This Row],[due_date]]&gt;=TODAY(),0,NETWORKDAYS(AR_table[[#This Row],[due_date]],TODAY()))</f>
        <v>126</v>
      </c>
      <c r="G428" s="4" t="str">
        <f ca="1">VLOOKUP(AR_age_category!$F428,Table4[#All],2)</f>
        <v>&gt;90</v>
      </c>
    </row>
    <row r="429" spans="1:7" x14ac:dyDescent="0.3">
      <c r="A429" s="11" t="s">
        <v>419</v>
      </c>
      <c r="B429" s="2" t="s">
        <v>593</v>
      </c>
      <c r="C429" s="12">
        <v>46125</v>
      </c>
      <c r="D429" s="12">
        <f>WORKDAY(AR_age_category!$C429,$J$1)</f>
        <v>46167</v>
      </c>
      <c r="E429" s="13">
        <v>1540.79</v>
      </c>
      <c r="F429" s="21">
        <f ca="1">IF(AR_table[[#This Row],[due_date]]&gt;=TODAY(),0,NETWORKDAYS(AR_table[[#This Row],[due_date]],TODAY()))</f>
        <v>0</v>
      </c>
      <c r="G429" s="2" t="str">
        <f ca="1">VLOOKUP(AR_age_category!$F429,Table4[#All],2)</f>
        <v>Not due</v>
      </c>
    </row>
    <row r="430" spans="1:7" x14ac:dyDescent="0.3">
      <c r="A430" s="14" t="s">
        <v>420</v>
      </c>
      <c r="B430" s="4" t="s">
        <v>594</v>
      </c>
      <c r="C430" s="15">
        <v>46133</v>
      </c>
      <c r="D430" s="15">
        <f>WORKDAY(AR_age_category!$C430,$J$1)</f>
        <v>46175</v>
      </c>
      <c r="E430" s="16">
        <v>1933.33</v>
      </c>
      <c r="F430" s="21">
        <f ca="1">IF(AR_table[[#This Row],[due_date]]&gt;=TODAY(),0,NETWORKDAYS(AR_table[[#This Row],[due_date]],TODAY()))</f>
        <v>0</v>
      </c>
      <c r="G430" s="4" t="str">
        <f ca="1">VLOOKUP(AR_age_category!$F430,Table4[#All],2)</f>
        <v>Not due</v>
      </c>
    </row>
    <row r="431" spans="1:7" x14ac:dyDescent="0.3">
      <c r="A431" s="11" t="s">
        <v>421</v>
      </c>
      <c r="B431" s="2" t="s">
        <v>592</v>
      </c>
      <c r="C431" s="12">
        <v>45902</v>
      </c>
      <c r="D431" s="12">
        <f>WORKDAY(AR_age_category!$C431,$J$1)</f>
        <v>45944</v>
      </c>
      <c r="E431" s="13">
        <v>458.58</v>
      </c>
      <c r="F431" s="21">
        <f ca="1">IF(AR_table[[#This Row],[due_date]]&gt;=TODAY(),0,NETWORKDAYS(AR_table[[#This Row],[due_date]],TODAY()))</f>
        <v>81</v>
      </c>
      <c r="G431" s="2" t="str">
        <f ca="1">VLOOKUP(AR_age_category!$F431,Table4[#All],2)</f>
        <v>61-90</v>
      </c>
    </row>
    <row r="432" spans="1:7" x14ac:dyDescent="0.3">
      <c r="A432" s="14" t="s">
        <v>422</v>
      </c>
      <c r="B432" s="4" t="s">
        <v>594</v>
      </c>
      <c r="C432" s="15">
        <v>46202</v>
      </c>
      <c r="D432" s="15">
        <f>WORKDAY(AR_age_category!$C432,$J$1)</f>
        <v>46244</v>
      </c>
      <c r="E432" s="16">
        <v>5760.56</v>
      </c>
      <c r="F432" s="21">
        <f ca="1">IF(AR_table[[#This Row],[due_date]]&gt;=TODAY(),0,NETWORKDAYS(AR_table[[#This Row],[due_date]],TODAY()))</f>
        <v>0</v>
      </c>
      <c r="G432" s="4" t="str">
        <f ca="1">VLOOKUP(AR_age_category!$F432,Table4[#All],2)</f>
        <v>Not due</v>
      </c>
    </row>
    <row r="433" spans="1:7" x14ac:dyDescent="0.3">
      <c r="A433" s="11" t="s">
        <v>423</v>
      </c>
      <c r="B433" s="2" t="s">
        <v>592</v>
      </c>
      <c r="C433" s="12">
        <v>46182</v>
      </c>
      <c r="D433" s="12">
        <f>WORKDAY(AR_age_category!$C433,$J$1)</f>
        <v>46224</v>
      </c>
      <c r="E433" s="13">
        <v>1719.86</v>
      </c>
      <c r="F433" s="21">
        <f ca="1">IF(AR_table[[#This Row],[due_date]]&gt;=TODAY(),0,NETWORKDAYS(AR_table[[#This Row],[due_date]],TODAY()))</f>
        <v>0</v>
      </c>
      <c r="G433" s="2" t="str">
        <f ca="1">VLOOKUP(AR_age_category!$F433,Table4[#All],2)</f>
        <v>Not due</v>
      </c>
    </row>
    <row r="434" spans="1:7" x14ac:dyDescent="0.3">
      <c r="A434" s="14" t="s">
        <v>424</v>
      </c>
      <c r="B434" s="4" t="s">
        <v>594</v>
      </c>
      <c r="C434" s="15">
        <v>46090</v>
      </c>
      <c r="D434" s="15">
        <f>WORKDAY(AR_age_category!$C434,$J$1)</f>
        <v>46132</v>
      </c>
      <c r="E434" s="16">
        <v>6756.99</v>
      </c>
      <c r="F434" s="21">
        <f ca="1">IF(AR_table[[#This Row],[due_date]]&gt;=TODAY(),0,NETWORKDAYS(AR_table[[#This Row],[due_date]],TODAY()))</f>
        <v>0</v>
      </c>
      <c r="G434" s="4" t="str">
        <f ca="1">VLOOKUP(AR_age_category!$F434,Table4[#All],2)</f>
        <v>Not due</v>
      </c>
    </row>
    <row r="435" spans="1:7" x14ac:dyDescent="0.3">
      <c r="A435" s="11" t="s">
        <v>425</v>
      </c>
      <c r="B435" s="2" t="s">
        <v>591</v>
      </c>
      <c r="C435" s="12">
        <v>45971</v>
      </c>
      <c r="D435" s="12">
        <f>WORKDAY(AR_age_category!$C435,$J$1)</f>
        <v>46013</v>
      </c>
      <c r="E435" s="13">
        <v>4654.32</v>
      </c>
      <c r="F435" s="21">
        <f ca="1">IF(AR_table[[#This Row],[due_date]]&gt;=TODAY(),0,NETWORKDAYS(AR_table[[#This Row],[due_date]],TODAY()))</f>
        <v>32</v>
      </c>
      <c r="G435" s="2" t="str">
        <f ca="1">VLOOKUP(AR_age_category!$F435,Table4[#All],2)</f>
        <v>31-60</v>
      </c>
    </row>
    <row r="436" spans="1:7" x14ac:dyDescent="0.3">
      <c r="A436" s="14" t="s">
        <v>426</v>
      </c>
      <c r="B436" s="4" t="s">
        <v>594</v>
      </c>
      <c r="C436" s="15">
        <v>45936</v>
      </c>
      <c r="D436" s="15">
        <f>WORKDAY(AR_age_category!$C436,$J$1)</f>
        <v>45978</v>
      </c>
      <c r="E436" s="16">
        <v>3915.77</v>
      </c>
      <c r="F436" s="21">
        <f ca="1">IF(AR_table[[#This Row],[due_date]]&gt;=TODAY(),0,NETWORKDAYS(AR_table[[#This Row],[due_date]],TODAY()))</f>
        <v>57</v>
      </c>
      <c r="G436" s="4" t="str">
        <f ca="1">VLOOKUP(AR_age_category!$F436,Table4[#All],2)</f>
        <v>31-60</v>
      </c>
    </row>
    <row r="437" spans="1:7" x14ac:dyDescent="0.3">
      <c r="A437" s="14" t="s">
        <v>427</v>
      </c>
      <c r="B437" s="4" t="s">
        <v>594</v>
      </c>
      <c r="C437" s="15">
        <v>45889</v>
      </c>
      <c r="D437" s="15">
        <f>WORKDAY(AR_age_category!$C437,$J$1)</f>
        <v>45931</v>
      </c>
      <c r="E437" s="16">
        <v>745.71</v>
      </c>
      <c r="F437" s="21">
        <f ca="1">IF(AR_table[[#This Row],[due_date]]&gt;=TODAY(),0,NETWORKDAYS(AR_table[[#This Row],[due_date]],TODAY()))</f>
        <v>90</v>
      </c>
      <c r="G437" s="4" t="str">
        <f ca="1">VLOOKUP(AR_age_category!$F437,Table4[#All],2)</f>
        <v>61-90</v>
      </c>
    </row>
    <row r="438" spans="1:7" x14ac:dyDescent="0.3">
      <c r="A438" s="14" t="s">
        <v>428</v>
      </c>
      <c r="B438" s="4" t="s">
        <v>591</v>
      </c>
      <c r="C438" s="15">
        <v>45917</v>
      </c>
      <c r="D438" s="15">
        <f>WORKDAY(AR_age_category!$C438,$J$1)</f>
        <v>45959</v>
      </c>
      <c r="E438" s="16">
        <v>4831.9799999999996</v>
      </c>
      <c r="F438" s="21">
        <f ca="1">IF(AR_table[[#This Row],[due_date]]&gt;=TODAY(),0,NETWORKDAYS(AR_table[[#This Row],[due_date]],TODAY()))</f>
        <v>70</v>
      </c>
      <c r="G438" s="4" t="str">
        <f ca="1">VLOOKUP(AR_age_category!$F438,Table4[#All],2)</f>
        <v>61-90</v>
      </c>
    </row>
    <row r="439" spans="1:7" x14ac:dyDescent="0.3">
      <c r="A439" s="11" t="s">
        <v>429</v>
      </c>
      <c r="B439" s="2" t="s">
        <v>592</v>
      </c>
      <c r="C439" s="12">
        <v>45660</v>
      </c>
      <c r="D439" s="12">
        <f>WORKDAY(AR_age_category!$C439,$J$1)</f>
        <v>45702</v>
      </c>
      <c r="E439" s="13">
        <v>1606.99</v>
      </c>
      <c r="F439" s="21">
        <f ca="1">IF(AR_table[[#This Row],[due_date]]&gt;=TODAY(),0,NETWORKDAYS(AR_table[[#This Row],[due_date]],TODAY()))</f>
        <v>253</v>
      </c>
      <c r="G439" s="2" t="str">
        <f ca="1">VLOOKUP(AR_age_category!$F439,Table4[#All],2)</f>
        <v>&gt;90</v>
      </c>
    </row>
    <row r="440" spans="1:7" x14ac:dyDescent="0.3">
      <c r="A440" s="14" t="s">
        <v>430</v>
      </c>
      <c r="B440" s="4" t="s">
        <v>594</v>
      </c>
      <c r="C440" s="15">
        <v>45664</v>
      </c>
      <c r="D440" s="15">
        <f>WORKDAY(AR_age_category!$C440,$J$1)</f>
        <v>45706</v>
      </c>
      <c r="E440" s="16">
        <v>243.81</v>
      </c>
      <c r="F440" s="21">
        <f ca="1">IF(AR_table[[#This Row],[due_date]]&gt;=TODAY(),0,NETWORKDAYS(AR_table[[#This Row],[due_date]],TODAY()))</f>
        <v>251</v>
      </c>
      <c r="G440" s="4" t="str">
        <f ca="1">VLOOKUP(AR_age_category!$F440,Table4[#All],2)</f>
        <v>&gt;90</v>
      </c>
    </row>
    <row r="441" spans="1:7" x14ac:dyDescent="0.3">
      <c r="A441" s="11" t="s">
        <v>431</v>
      </c>
      <c r="B441" s="2" t="s">
        <v>595</v>
      </c>
      <c r="C441" s="12">
        <v>45893</v>
      </c>
      <c r="D441" s="12">
        <f>WORKDAY(AR_age_category!$C441,$J$1)</f>
        <v>45933</v>
      </c>
      <c r="E441" s="13">
        <v>6816.1</v>
      </c>
      <c r="F441" s="21">
        <f ca="1">IF(AR_table[[#This Row],[due_date]]&gt;=TODAY(),0,NETWORKDAYS(AR_table[[#This Row],[due_date]],TODAY()))</f>
        <v>88</v>
      </c>
      <c r="G441" s="2" t="str">
        <f ca="1">VLOOKUP(AR_age_category!$F441,Table4[#All],2)</f>
        <v>61-90</v>
      </c>
    </row>
    <row r="442" spans="1:7" x14ac:dyDescent="0.3">
      <c r="A442" s="14" t="s">
        <v>432</v>
      </c>
      <c r="B442" s="4" t="s">
        <v>591</v>
      </c>
      <c r="C442" s="15">
        <v>45871</v>
      </c>
      <c r="D442" s="15">
        <f>WORKDAY(AR_age_category!$C442,$J$1)</f>
        <v>45912</v>
      </c>
      <c r="E442" s="16">
        <v>3940.19</v>
      </c>
      <c r="F442" s="21">
        <f ca="1">IF(AR_table[[#This Row],[due_date]]&gt;=TODAY(),0,NETWORKDAYS(AR_table[[#This Row],[due_date]],TODAY()))</f>
        <v>103</v>
      </c>
      <c r="G442" s="4" t="str">
        <f ca="1">VLOOKUP(AR_age_category!$F442,Table4[#All],2)</f>
        <v>&gt;90</v>
      </c>
    </row>
    <row r="443" spans="1:7" x14ac:dyDescent="0.3">
      <c r="A443" s="11" t="s">
        <v>433</v>
      </c>
      <c r="B443" s="2" t="s">
        <v>595</v>
      </c>
      <c r="C443" s="12">
        <v>45822</v>
      </c>
      <c r="D443" s="12">
        <f>WORKDAY(AR_age_category!$C443,$J$1)</f>
        <v>45863</v>
      </c>
      <c r="E443" s="13">
        <v>3595.35</v>
      </c>
      <c r="F443" s="21">
        <f ca="1">IF(AR_table[[#This Row],[due_date]]&gt;=TODAY(),0,NETWORKDAYS(AR_table[[#This Row],[due_date]],TODAY()))</f>
        <v>138</v>
      </c>
      <c r="G443" s="2" t="str">
        <f ca="1">VLOOKUP(AR_age_category!$F443,Table4[#All],2)</f>
        <v>&gt;90</v>
      </c>
    </row>
    <row r="444" spans="1:7" x14ac:dyDescent="0.3">
      <c r="A444" s="14" t="s">
        <v>434</v>
      </c>
      <c r="B444" s="4" t="s">
        <v>591</v>
      </c>
      <c r="C444" s="15">
        <v>45792</v>
      </c>
      <c r="D444" s="15">
        <f>WORKDAY(AR_age_category!$C444,$J$1)</f>
        <v>45834</v>
      </c>
      <c r="E444" s="16">
        <v>3077.11</v>
      </c>
      <c r="F444" s="21">
        <f ca="1">IF(AR_table[[#This Row],[due_date]]&gt;=TODAY(),0,NETWORKDAYS(AR_table[[#This Row],[due_date]],TODAY()))</f>
        <v>159</v>
      </c>
      <c r="G444" s="4" t="str">
        <f ca="1">VLOOKUP(AR_age_category!$F444,Table4[#All],2)</f>
        <v>&gt;90</v>
      </c>
    </row>
    <row r="445" spans="1:7" x14ac:dyDescent="0.3">
      <c r="A445" s="11" t="s">
        <v>435</v>
      </c>
      <c r="B445" s="2" t="s">
        <v>591</v>
      </c>
      <c r="C445" s="12">
        <v>46070</v>
      </c>
      <c r="D445" s="12">
        <f>WORKDAY(AR_age_category!$C445,$J$1)</f>
        <v>46112</v>
      </c>
      <c r="E445" s="13">
        <v>5124.7</v>
      </c>
      <c r="F445" s="21">
        <f ca="1">IF(AR_table[[#This Row],[due_date]]&gt;=TODAY(),0,NETWORKDAYS(AR_table[[#This Row],[due_date]],TODAY()))</f>
        <v>0</v>
      </c>
      <c r="G445" s="2" t="str">
        <f ca="1">VLOOKUP(AR_age_category!$F445,Table4[#All],2)</f>
        <v>Not due</v>
      </c>
    </row>
    <row r="446" spans="1:7" x14ac:dyDescent="0.3">
      <c r="A446" s="14" t="s">
        <v>436</v>
      </c>
      <c r="B446" s="4" t="s">
        <v>591</v>
      </c>
      <c r="C446" s="15">
        <v>45823</v>
      </c>
      <c r="D446" s="15">
        <f>WORKDAY(AR_age_category!$C446,$J$1)</f>
        <v>45863</v>
      </c>
      <c r="E446" s="16">
        <v>7013.17</v>
      </c>
      <c r="F446" s="21">
        <f ca="1">IF(AR_table[[#This Row],[due_date]]&gt;=TODAY(),0,NETWORKDAYS(AR_table[[#This Row],[due_date]],TODAY()))</f>
        <v>138</v>
      </c>
      <c r="G446" s="4" t="str">
        <f ca="1">VLOOKUP(AR_age_category!$F446,Table4[#All],2)</f>
        <v>&gt;90</v>
      </c>
    </row>
    <row r="447" spans="1:7" x14ac:dyDescent="0.3">
      <c r="A447" s="11" t="s">
        <v>437</v>
      </c>
      <c r="B447" s="2" t="s">
        <v>594</v>
      </c>
      <c r="C447" s="12">
        <v>45695</v>
      </c>
      <c r="D447" s="12">
        <f>WORKDAY(AR_age_category!$C447,$J$1)</f>
        <v>45737</v>
      </c>
      <c r="E447" s="13">
        <v>6328.76</v>
      </c>
      <c r="F447" s="21">
        <f ca="1">IF(AR_table[[#This Row],[due_date]]&gt;=TODAY(),0,NETWORKDAYS(AR_table[[#This Row],[due_date]],TODAY()))</f>
        <v>228</v>
      </c>
      <c r="G447" s="2" t="str">
        <f ca="1">VLOOKUP(AR_age_category!$F447,Table4[#All],2)</f>
        <v>&gt;90</v>
      </c>
    </row>
    <row r="448" spans="1:7" x14ac:dyDescent="0.3">
      <c r="A448" s="14" t="s">
        <v>438</v>
      </c>
      <c r="B448" s="4" t="s">
        <v>592</v>
      </c>
      <c r="C448" s="15">
        <v>45905</v>
      </c>
      <c r="D448" s="15">
        <f>WORKDAY(AR_age_category!$C448,$J$1)</f>
        <v>45947</v>
      </c>
      <c r="E448" s="16">
        <v>902.03</v>
      </c>
      <c r="F448" s="21">
        <f ca="1">IF(AR_table[[#This Row],[due_date]]&gt;=TODAY(),0,NETWORKDAYS(AR_table[[#This Row],[due_date]],TODAY()))</f>
        <v>78</v>
      </c>
      <c r="G448" s="4" t="str">
        <f ca="1">VLOOKUP(AR_age_category!$F448,Table4[#All],2)</f>
        <v>61-90</v>
      </c>
    </row>
    <row r="449" spans="1:7" x14ac:dyDescent="0.3">
      <c r="A449" s="11" t="s">
        <v>439</v>
      </c>
      <c r="B449" s="2" t="s">
        <v>593</v>
      </c>
      <c r="C449" s="12">
        <v>46092</v>
      </c>
      <c r="D449" s="12">
        <f>WORKDAY(AR_age_category!$C449,$J$1)</f>
        <v>46134</v>
      </c>
      <c r="E449" s="13">
        <v>5343.75</v>
      </c>
      <c r="F449" s="21">
        <f ca="1">IF(AR_table[[#This Row],[due_date]]&gt;=TODAY(),0,NETWORKDAYS(AR_table[[#This Row],[due_date]],TODAY()))</f>
        <v>0</v>
      </c>
      <c r="G449" s="2" t="str">
        <f ca="1">VLOOKUP(AR_age_category!$F449,Table4[#All],2)</f>
        <v>Not due</v>
      </c>
    </row>
    <row r="450" spans="1:7" x14ac:dyDescent="0.3">
      <c r="A450" s="14" t="s">
        <v>440</v>
      </c>
      <c r="B450" s="4" t="s">
        <v>592</v>
      </c>
      <c r="C450" s="15">
        <v>45977</v>
      </c>
      <c r="D450" s="15">
        <f>WORKDAY(AR_age_category!$C450,$J$1)</f>
        <v>46017</v>
      </c>
      <c r="E450" s="16">
        <v>7948.89</v>
      </c>
      <c r="F450" s="21">
        <f ca="1">IF(AR_table[[#This Row],[due_date]]&gt;=TODAY(),0,NETWORKDAYS(AR_table[[#This Row],[due_date]],TODAY()))</f>
        <v>28</v>
      </c>
      <c r="G450" s="4" t="str">
        <f ca="1">VLOOKUP(AR_age_category!$F450,Table4[#All],2)</f>
        <v>1-30</v>
      </c>
    </row>
    <row r="451" spans="1:7" x14ac:dyDescent="0.3">
      <c r="A451" s="14" t="s">
        <v>441</v>
      </c>
      <c r="B451" s="4" t="s">
        <v>592</v>
      </c>
      <c r="C451" s="15">
        <v>45859</v>
      </c>
      <c r="D451" s="15">
        <f>WORKDAY(AR_age_category!$C451,$J$1)</f>
        <v>45901</v>
      </c>
      <c r="E451" s="16">
        <v>4905.33</v>
      </c>
      <c r="F451" s="21">
        <f ca="1">IF(AR_table[[#This Row],[due_date]]&gt;=TODAY(),0,NETWORKDAYS(AR_table[[#This Row],[due_date]],TODAY()))</f>
        <v>112</v>
      </c>
      <c r="G451" s="4" t="str">
        <f ca="1">VLOOKUP(AR_age_category!$F451,Table4[#All],2)</f>
        <v>&gt;90</v>
      </c>
    </row>
    <row r="452" spans="1:7" x14ac:dyDescent="0.3">
      <c r="A452" s="11" t="s">
        <v>442</v>
      </c>
      <c r="B452" s="2" t="s">
        <v>593</v>
      </c>
      <c r="C452" s="12">
        <v>45711</v>
      </c>
      <c r="D452" s="12">
        <f>WORKDAY(AR_age_category!$C452,$J$1)</f>
        <v>45751</v>
      </c>
      <c r="E452" s="13">
        <v>5531.26</v>
      </c>
      <c r="F452" s="21">
        <f ca="1">IF(AR_table[[#This Row],[due_date]]&gt;=TODAY(),0,NETWORKDAYS(AR_table[[#This Row],[due_date]],TODAY()))</f>
        <v>218</v>
      </c>
      <c r="G452" s="2" t="str">
        <f ca="1">VLOOKUP(AR_age_category!$F452,Table4[#All],2)</f>
        <v>&gt;90</v>
      </c>
    </row>
    <row r="453" spans="1:7" x14ac:dyDescent="0.3">
      <c r="A453" s="14" t="s">
        <v>443</v>
      </c>
      <c r="B453" s="4" t="s">
        <v>594</v>
      </c>
      <c r="C453" s="15">
        <v>46112</v>
      </c>
      <c r="D453" s="15">
        <f>WORKDAY(AR_age_category!$C453,$J$1)</f>
        <v>46154</v>
      </c>
      <c r="E453" s="16">
        <v>696.31</v>
      </c>
      <c r="F453" s="21">
        <f ca="1">IF(AR_table[[#This Row],[due_date]]&gt;=TODAY(),0,NETWORKDAYS(AR_table[[#This Row],[due_date]],TODAY()))</f>
        <v>0</v>
      </c>
      <c r="G453" s="4" t="str">
        <f ca="1">VLOOKUP(AR_age_category!$F453,Table4[#All],2)</f>
        <v>Not due</v>
      </c>
    </row>
    <row r="454" spans="1:7" x14ac:dyDescent="0.3">
      <c r="A454" s="11" t="s">
        <v>444</v>
      </c>
      <c r="B454" s="2" t="s">
        <v>594</v>
      </c>
      <c r="C454" s="12">
        <v>46169</v>
      </c>
      <c r="D454" s="12">
        <f>WORKDAY(AR_age_category!$C454,$J$1)</f>
        <v>46211</v>
      </c>
      <c r="E454" s="13">
        <v>4219.1899999999996</v>
      </c>
      <c r="F454" s="21">
        <f ca="1">IF(AR_table[[#This Row],[due_date]]&gt;=TODAY(),0,NETWORKDAYS(AR_table[[#This Row],[due_date]],TODAY()))</f>
        <v>0</v>
      </c>
      <c r="G454" s="2" t="str">
        <f ca="1">VLOOKUP(AR_age_category!$F454,Table4[#All],2)</f>
        <v>Not due</v>
      </c>
    </row>
    <row r="455" spans="1:7" x14ac:dyDescent="0.3">
      <c r="A455" s="14" t="s">
        <v>445</v>
      </c>
      <c r="B455" s="4" t="s">
        <v>591</v>
      </c>
      <c r="C455" s="15">
        <v>45689</v>
      </c>
      <c r="D455" s="15">
        <f>WORKDAY(AR_age_category!$C455,$J$1)</f>
        <v>45730</v>
      </c>
      <c r="E455" s="16">
        <v>6754.63</v>
      </c>
      <c r="F455" s="21">
        <f ca="1">IF(AR_table[[#This Row],[due_date]]&gt;=TODAY(),0,NETWORKDAYS(AR_table[[#This Row],[due_date]],TODAY()))</f>
        <v>233</v>
      </c>
      <c r="G455" s="4" t="str">
        <f ca="1">VLOOKUP(AR_age_category!$F455,Table4[#All],2)</f>
        <v>&gt;90</v>
      </c>
    </row>
    <row r="456" spans="1:7" x14ac:dyDescent="0.3">
      <c r="A456" s="14" t="s">
        <v>446</v>
      </c>
      <c r="B456" s="4" t="s">
        <v>595</v>
      </c>
      <c r="C456" s="15">
        <v>45812</v>
      </c>
      <c r="D456" s="15">
        <f>WORKDAY(AR_age_category!$C456,$J$1)</f>
        <v>45854</v>
      </c>
      <c r="E456" s="16">
        <v>5986.21</v>
      </c>
      <c r="F456" s="21">
        <f ca="1">IF(AR_table[[#This Row],[due_date]]&gt;=TODAY(),0,NETWORKDAYS(AR_table[[#This Row],[due_date]],TODAY()))</f>
        <v>145</v>
      </c>
      <c r="G456" s="4" t="str">
        <f ca="1">VLOOKUP(AR_age_category!$F456,Table4[#All],2)</f>
        <v>&gt;90</v>
      </c>
    </row>
    <row r="457" spans="1:7" x14ac:dyDescent="0.3">
      <c r="A457" s="11" t="s">
        <v>447</v>
      </c>
      <c r="B457" s="2" t="s">
        <v>592</v>
      </c>
      <c r="C457" s="12">
        <v>45988</v>
      </c>
      <c r="D457" s="12">
        <f>WORKDAY(AR_age_category!$C457,$J$1)</f>
        <v>46030</v>
      </c>
      <c r="E457" s="13">
        <v>4948.45</v>
      </c>
      <c r="F457" s="21">
        <f ca="1">IF(AR_table[[#This Row],[due_date]]&gt;=TODAY(),0,NETWORKDAYS(AR_table[[#This Row],[due_date]],TODAY()))</f>
        <v>19</v>
      </c>
      <c r="G457" s="2" t="str">
        <f ca="1">VLOOKUP(AR_age_category!$F457,Table4[#All],2)</f>
        <v>1-30</v>
      </c>
    </row>
    <row r="458" spans="1:7" x14ac:dyDescent="0.3">
      <c r="A458" s="14" t="s">
        <v>448</v>
      </c>
      <c r="B458" s="4" t="s">
        <v>595</v>
      </c>
      <c r="C458" s="15">
        <v>45737</v>
      </c>
      <c r="D458" s="15">
        <f>WORKDAY(AR_age_category!$C458,$J$1)</f>
        <v>45779</v>
      </c>
      <c r="E458" s="16">
        <v>3111.12</v>
      </c>
      <c r="F458" s="21">
        <f ca="1">IF(AR_table[[#This Row],[due_date]]&gt;=TODAY(),0,NETWORKDAYS(AR_table[[#This Row],[due_date]],TODAY()))</f>
        <v>198</v>
      </c>
      <c r="G458" s="4" t="str">
        <f ca="1">VLOOKUP(AR_age_category!$F458,Table4[#All],2)</f>
        <v>&gt;90</v>
      </c>
    </row>
    <row r="459" spans="1:7" x14ac:dyDescent="0.3">
      <c r="A459" s="11" t="s">
        <v>449</v>
      </c>
      <c r="B459" s="2" t="s">
        <v>592</v>
      </c>
      <c r="C459" s="12">
        <v>46189</v>
      </c>
      <c r="D459" s="12">
        <f>WORKDAY(AR_age_category!$C459,$J$1)</f>
        <v>46231</v>
      </c>
      <c r="E459" s="13">
        <v>4171.1000000000004</v>
      </c>
      <c r="F459" s="21">
        <f ca="1">IF(AR_table[[#This Row],[due_date]]&gt;=TODAY(),0,NETWORKDAYS(AR_table[[#This Row],[due_date]],TODAY()))</f>
        <v>0</v>
      </c>
      <c r="G459" s="2" t="str">
        <f ca="1">VLOOKUP(AR_age_category!$F459,Table4[#All],2)</f>
        <v>Not due</v>
      </c>
    </row>
    <row r="460" spans="1:7" x14ac:dyDescent="0.3">
      <c r="A460" s="14" t="s">
        <v>450</v>
      </c>
      <c r="B460" s="4" t="s">
        <v>591</v>
      </c>
      <c r="C460" s="15">
        <v>45934</v>
      </c>
      <c r="D460" s="15">
        <f>WORKDAY(AR_age_category!$C460,$J$1)</f>
        <v>45975</v>
      </c>
      <c r="E460" s="16">
        <v>6025.55</v>
      </c>
      <c r="F460" s="21">
        <f ca="1">IF(AR_table[[#This Row],[due_date]]&gt;=TODAY(),0,NETWORKDAYS(AR_table[[#This Row],[due_date]],TODAY()))</f>
        <v>58</v>
      </c>
      <c r="G460" s="4" t="str">
        <f ca="1">VLOOKUP(AR_age_category!$F460,Table4[#All],2)</f>
        <v>31-60</v>
      </c>
    </row>
    <row r="461" spans="1:7" x14ac:dyDescent="0.3">
      <c r="A461" s="11" t="s">
        <v>451</v>
      </c>
      <c r="B461" s="2" t="s">
        <v>593</v>
      </c>
      <c r="C461" s="12">
        <v>45712</v>
      </c>
      <c r="D461" s="12">
        <f>WORKDAY(AR_age_category!$C461,$J$1)</f>
        <v>45754</v>
      </c>
      <c r="E461" s="13">
        <v>4483.34</v>
      </c>
      <c r="F461" s="21">
        <f ca="1">IF(AR_table[[#This Row],[due_date]]&gt;=TODAY(),0,NETWORKDAYS(AR_table[[#This Row],[due_date]],TODAY()))</f>
        <v>217</v>
      </c>
      <c r="G461" s="2" t="str">
        <f ca="1">VLOOKUP(AR_age_category!$F461,Table4[#All],2)</f>
        <v>&gt;90</v>
      </c>
    </row>
    <row r="462" spans="1:7" x14ac:dyDescent="0.3">
      <c r="A462" s="14" t="s">
        <v>452</v>
      </c>
      <c r="B462" s="4" t="s">
        <v>594</v>
      </c>
      <c r="C462" s="15">
        <v>46161</v>
      </c>
      <c r="D462" s="15">
        <f>WORKDAY(AR_age_category!$C462,$J$1)</f>
        <v>46203</v>
      </c>
      <c r="E462" s="16">
        <v>1864.5</v>
      </c>
      <c r="F462" s="21">
        <f ca="1">IF(AR_table[[#This Row],[due_date]]&gt;=TODAY(),0,NETWORKDAYS(AR_table[[#This Row],[due_date]],TODAY()))</f>
        <v>0</v>
      </c>
      <c r="G462" s="4" t="str">
        <f ca="1">VLOOKUP(AR_age_category!$F462,Table4[#All],2)</f>
        <v>Not due</v>
      </c>
    </row>
    <row r="463" spans="1:7" x14ac:dyDescent="0.3">
      <c r="A463" s="11" t="s">
        <v>453</v>
      </c>
      <c r="B463" s="2" t="s">
        <v>594</v>
      </c>
      <c r="C463" s="12">
        <v>45966</v>
      </c>
      <c r="D463" s="12">
        <f>WORKDAY(AR_age_category!$C463,$J$1)</f>
        <v>46008</v>
      </c>
      <c r="E463" s="13">
        <v>3805.4</v>
      </c>
      <c r="F463" s="21">
        <f ca="1">IF(AR_table[[#This Row],[due_date]]&gt;=TODAY(),0,NETWORKDAYS(AR_table[[#This Row],[due_date]],TODAY()))</f>
        <v>35</v>
      </c>
      <c r="G463" s="2" t="str">
        <f ca="1">VLOOKUP(AR_age_category!$F463,Table4[#All],2)</f>
        <v>31-60</v>
      </c>
    </row>
    <row r="464" spans="1:7" x14ac:dyDescent="0.3">
      <c r="A464" s="14" t="s">
        <v>454</v>
      </c>
      <c r="B464" s="4" t="s">
        <v>594</v>
      </c>
      <c r="C464" s="15">
        <v>45822</v>
      </c>
      <c r="D464" s="15">
        <f>WORKDAY(AR_age_category!$C464,$J$1)</f>
        <v>45863</v>
      </c>
      <c r="E464" s="16">
        <v>3548.95</v>
      </c>
      <c r="F464" s="21">
        <f ca="1">IF(AR_table[[#This Row],[due_date]]&gt;=TODAY(),0,NETWORKDAYS(AR_table[[#This Row],[due_date]],TODAY()))</f>
        <v>138</v>
      </c>
      <c r="G464" s="4" t="str">
        <f ca="1">VLOOKUP(AR_age_category!$F464,Table4[#All],2)</f>
        <v>&gt;90</v>
      </c>
    </row>
    <row r="465" spans="1:7" x14ac:dyDescent="0.3">
      <c r="A465" s="11" t="s">
        <v>455</v>
      </c>
      <c r="B465" s="2" t="s">
        <v>591</v>
      </c>
      <c r="C465" s="12">
        <v>45986</v>
      </c>
      <c r="D465" s="12">
        <f>WORKDAY(AR_age_category!$C465,$J$1)</f>
        <v>46028</v>
      </c>
      <c r="E465" s="13">
        <v>283.44</v>
      </c>
      <c r="F465" s="21">
        <f ca="1">IF(AR_table[[#This Row],[due_date]]&gt;=TODAY(),0,NETWORKDAYS(AR_table[[#This Row],[due_date]],TODAY()))</f>
        <v>21</v>
      </c>
      <c r="G465" s="2" t="str">
        <f ca="1">VLOOKUP(AR_age_category!$F465,Table4[#All],2)</f>
        <v>1-30</v>
      </c>
    </row>
    <row r="466" spans="1:7" x14ac:dyDescent="0.3">
      <c r="A466" s="14" t="s">
        <v>456</v>
      </c>
      <c r="B466" s="4" t="s">
        <v>595</v>
      </c>
      <c r="C466" s="15">
        <v>45806</v>
      </c>
      <c r="D466" s="15">
        <f>WORKDAY(AR_age_category!$C466,$J$1)</f>
        <v>45848</v>
      </c>
      <c r="E466" s="16">
        <v>3193.11</v>
      </c>
      <c r="F466" s="21">
        <f ca="1">IF(AR_table[[#This Row],[due_date]]&gt;=TODAY(),0,NETWORKDAYS(AR_table[[#This Row],[due_date]],TODAY()))</f>
        <v>149</v>
      </c>
      <c r="G466" s="4" t="str">
        <f ca="1">VLOOKUP(AR_age_category!$F466,Table4[#All],2)</f>
        <v>&gt;90</v>
      </c>
    </row>
    <row r="467" spans="1:7" x14ac:dyDescent="0.3">
      <c r="A467" s="11" t="s">
        <v>457</v>
      </c>
      <c r="B467" s="2" t="s">
        <v>592</v>
      </c>
      <c r="C467" s="12">
        <v>45677</v>
      </c>
      <c r="D467" s="12">
        <f>WORKDAY(AR_age_category!$C467,$J$1)</f>
        <v>45719</v>
      </c>
      <c r="E467" s="13">
        <v>2760.66</v>
      </c>
      <c r="F467" s="21">
        <f ca="1">IF(AR_table[[#This Row],[due_date]]&gt;=TODAY(),0,NETWORKDAYS(AR_table[[#This Row],[due_date]],TODAY()))</f>
        <v>242</v>
      </c>
      <c r="G467" s="2" t="str">
        <f ca="1">VLOOKUP(AR_age_category!$F467,Table4[#All],2)</f>
        <v>&gt;90</v>
      </c>
    </row>
    <row r="468" spans="1:7" x14ac:dyDescent="0.3">
      <c r="A468" s="11" t="s">
        <v>458</v>
      </c>
      <c r="B468" s="2" t="s">
        <v>593</v>
      </c>
      <c r="C468" s="12">
        <v>45678</v>
      </c>
      <c r="D468" s="12">
        <f>WORKDAY(AR_age_category!$C468,$J$1)</f>
        <v>45720</v>
      </c>
      <c r="E468" s="13">
        <v>4442.5200000000004</v>
      </c>
      <c r="F468" s="21">
        <f ca="1">IF(AR_table[[#This Row],[due_date]]&gt;=TODAY(),0,NETWORKDAYS(AR_table[[#This Row],[due_date]],TODAY()))</f>
        <v>241</v>
      </c>
      <c r="G468" s="2" t="str">
        <f ca="1">VLOOKUP(AR_age_category!$F468,Table4[#All],2)</f>
        <v>&gt;90</v>
      </c>
    </row>
    <row r="469" spans="1:7" x14ac:dyDescent="0.3">
      <c r="A469" s="14" t="s">
        <v>459</v>
      </c>
      <c r="B469" s="4" t="s">
        <v>594</v>
      </c>
      <c r="C469" s="15">
        <v>45931</v>
      </c>
      <c r="D469" s="15">
        <f>WORKDAY(AR_age_category!$C469,$J$1)</f>
        <v>45973</v>
      </c>
      <c r="E469" s="16">
        <v>6614.86</v>
      </c>
      <c r="F469" s="21">
        <f ca="1">IF(AR_table[[#This Row],[due_date]]&gt;=TODAY(),0,NETWORKDAYS(AR_table[[#This Row],[due_date]],TODAY()))</f>
        <v>60</v>
      </c>
      <c r="G469" s="4" t="str">
        <f ca="1">VLOOKUP(AR_age_category!$F469,Table4[#All],2)</f>
        <v>31-60</v>
      </c>
    </row>
    <row r="470" spans="1:7" x14ac:dyDescent="0.3">
      <c r="A470" s="11" t="s">
        <v>460</v>
      </c>
      <c r="B470" s="2" t="s">
        <v>594</v>
      </c>
      <c r="C470" s="12">
        <v>45972</v>
      </c>
      <c r="D470" s="12">
        <f>WORKDAY(AR_age_category!$C470,$J$1)</f>
        <v>46014</v>
      </c>
      <c r="E470" s="13">
        <v>2556.04</v>
      </c>
      <c r="F470" s="21">
        <f ca="1">IF(AR_table[[#This Row],[due_date]]&gt;=TODAY(),0,NETWORKDAYS(AR_table[[#This Row],[due_date]],TODAY()))</f>
        <v>31</v>
      </c>
      <c r="G470" s="2" t="str">
        <f ca="1">VLOOKUP(AR_age_category!$F470,Table4[#All],2)</f>
        <v>31-60</v>
      </c>
    </row>
    <row r="471" spans="1:7" x14ac:dyDescent="0.3">
      <c r="A471" s="14" t="s">
        <v>461</v>
      </c>
      <c r="B471" s="4" t="s">
        <v>591</v>
      </c>
      <c r="C471" s="15">
        <v>45888</v>
      </c>
      <c r="D471" s="15">
        <f>WORKDAY(AR_age_category!$C471,$J$1)</f>
        <v>45930</v>
      </c>
      <c r="E471" s="16">
        <v>2111.52</v>
      </c>
      <c r="F471" s="21">
        <f ca="1">IF(AR_table[[#This Row],[due_date]]&gt;=TODAY(),0,NETWORKDAYS(AR_table[[#This Row],[due_date]],TODAY()))</f>
        <v>91</v>
      </c>
      <c r="G471" s="4" t="str">
        <f ca="1">VLOOKUP(AR_age_category!$F471,Table4[#All],2)</f>
        <v>&gt;90</v>
      </c>
    </row>
    <row r="472" spans="1:7" x14ac:dyDescent="0.3">
      <c r="A472" s="11" t="s">
        <v>462</v>
      </c>
      <c r="B472" s="2" t="s">
        <v>593</v>
      </c>
      <c r="C472" s="12">
        <v>45737</v>
      </c>
      <c r="D472" s="12">
        <f>WORKDAY(AR_age_category!$C472,$J$1)</f>
        <v>45779</v>
      </c>
      <c r="E472" s="13">
        <v>982.36</v>
      </c>
      <c r="F472" s="21">
        <f ca="1">IF(AR_table[[#This Row],[due_date]]&gt;=TODAY(),0,NETWORKDAYS(AR_table[[#This Row],[due_date]],TODAY()))</f>
        <v>198</v>
      </c>
      <c r="G472" s="2" t="str">
        <f ca="1">VLOOKUP(AR_age_category!$F472,Table4[#All],2)</f>
        <v>&gt;90</v>
      </c>
    </row>
    <row r="473" spans="1:7" x14ac:dyDescent="0.3">
      <c r="A473" s="14" t="s">
        <v>463</v>
      </c>
      <c r="B473" s="4" t="s">
        <v>594</v>
      </c>
      <c r="C473" s="15">
        <v>45727</v>
      </c>
      <c r="D473" s="15">
        <f>WORKDAY(AR_age_category!$C473,$J$1)</f>
        <v>45769</v>
      </c>
      <c r="E473" s="16">
        <v>5662.81</v>
      </c>
      <c r="F473" s="21">
        <f ca="1">IF(AR_table[[#This Row],[due_date]]&gt;=TODAY(),0,NETWORKDAYS(AR_table[[#This Row],[due_date]],TODAY()))</f>
        <v>206</v>
      </c>
      <c r="G473" s="4" t="str">
        <f ca="1">VLOOKUP(AR_age_category!$F473,Table4[#All],2)</f>
        <v>&gt;90</v>
      </c>
    </row>
    <row r="474" spans="1:7" x14ac:dyDescent="0.3">
      <c r="A474" s="11" t="s">
        <v>464</v>
      </c>
      <c r="B474" s="2" t="s">
        <v>591</v>
      </c>
      <c r="C474" s="12">
        <v>45806</v>
      </c>
      <c r="D474" s="12">
        <f>WORKDAY(AR_age_category!$C474,$J$1)</f>
        <v>45848</v>
      </c>
      <c r="E474" s="13">
        <v>5466.25</v>
      </c>
      <c r="F474" s="21">
        <f ca="1">IF(AR_table[[#This Row],[due_date]]&gt;=TODAY(),0,NETWORKDAYS(AR_table[[#This Row],[due_date]],TODAY()))</f>
        <v>149</v>
      </c>
      <c r="G474" s="2" t="str">
        <f ca="1">VLOOKUP(AR_age_category!$F474,Table4[#All],2)</f>
        <v>&gt;90</v>
      </c>
    </row>
    <row r="475" spans="1:7" x14ac:dyDescent="0.3">
      <c r="A475" s="14" t="s">
        <v>465</v>
      </c>
      <c r="B475" s="4" t="s">
        <v>591</v>
      </c>
      <c r="C475" s="15">
        <v>45719</v>
      </c>
      <c r="D475" s="15">
        <f>WORKDAY(AR_age_category!$C475,$J$1)</f>
        <v>45761</v>
      </c>
      <c r="E475" s="16">
        <v>5790.42</v>
      </c>
      <c r="F475" s="21">
        <f ca="1">IF(AR_table[[#This Row],[due_date]]&gt;=TODAY(),0,NETWORKDAYS(AR_table[[#This Row],[due_date]],TODAY()))</f>
        <v>212</v>
      </c>
      <c r="G475" s="4" t="str">
        <f ca="1">VLOOKUP(AR_age_category!$F475,Table4[#All],2)</f>
        <v>&gt;90</v>
      </c>
    </row>
    <row r="476" spans="1:7" x14ac:dyDescent="0.3">
      <c r="A476" s="14" t="s">
        <v>466</v>
      </c>
      <c r="B476" s="4" t="s">
        <v>595</v>
      </c>
      <c r="C476" s="15">
        <v>45910</v>
      </c>
      <c r="D476" s="15">
        <f>WORKDAY(AR_age_category!$C476,$J$1)</f>
        <v>45952</v>
      </c>
      <c r="E476" s="16">
        <v>3252.33</v>
      </c>
      <c r="F476" s="21">
        <f ca="1">IF(AR_table[[#This Row],[due_date]]&gt;=TODAY(),0,NETWORKDAYS(AR_table[[#This Row],[due_date]],TODAY()))</f>
        <v>75</v>
      </c>
      <c r="G476" s="4" t="str">
        <f ca="1">VLOOKUP(AR_age_category!$F476,Table4[#All],2)</f>
        <v>61-90</v>
      </c>
    </row>
    <row r="477" spans="1:7" x14ac:dyDescent="0.3">
      <c r="A477" s="14" t="s">
        <v>467</v>
      </c>
      <c r="B477" s="4" t="s">
        <v>594</v>
      </c>
      <c r="C477" s="15">
        <v>46182</v>
      </c>
      <c r="D477" s="15">
        <f>WORKDAY(AR_age_category!$C477,$J$1)</f>
        <v>46224</v>
      </c>
      <c r="E477" s="16">
        <v>1447.17</v>
      </c>
      <c r="F477" s="21">
        <f ca="1">IF(AR_table[[#This Row],[due_date]]&gt;=TODAY(),0,NETWORKDAYS(AR_table[[#This Row],[due_date]],TODAY()))</f>
        <v>0</v>
      </c>
      <c r="G477" s="4" t="str">
        <f ca="1">VLOOKUP(AR_age_category!$F477,Table4[#All],2)</f>
        <v>Not due</v>
      </c>
    </row>
    <row r="478" spans="1:7" x14ac:dyDescent="0.3">
      <c r="A478" s="11" t="s">
        <v>468</v>
      </c>
      <c r="B478" s="2" t="s">
        <v>591</v>
      </c>
      <c r="C478" s="12">
        <v>45874</v>
      </c>
      <c r="D478" s="12">
        <f>WORKDAY(AR_age_category!$C478,$J$1)</f>
        <v>45916</v>
      </c>
      <c r="E478" s="13">
        <v>7506.22</v>
      </c>
      <c r="F478" s="21">
        <f ca="1">IF(AR_table[[#This Row],[due_date]]&gt;=TODAY(),0,NETWORKDAYS(AR_table[[#This Row],[due_date]],TODAY()))</f>
        <v>101</v>
      </c>
      <c r="G478" s="2" t="str">
        <f ca="1">VLOOKUP(AR_age_category!$F478,Table4[#All],2)</f>
        <v>&gt;90</v>
      </c>
    </row>
    <row r="479" spans="1:7" x14ac:dyDescent="0.3">
      <c r="A479" s="14" t="s">
        <v>469</v>
      </c>
      <c r="B479" s="4" t="s">
        <v>594</v>
      </c>
      <c r="C479" s="15">
        <v>46126</v>
      </c>
      <c r="D479" s="15">
        <f>WORKDAY(AR_age_category!$C479,$J$1)</f>
        <v>46168</v>
      </c>
      <c r="E479" s="16">
        <v>7912.6</v>
      </c>
      <c r="F479" s="21">
        <f ca="1">IF(AR_table[[#This Row],[due_date]]&gt;=TODAY(),0,NETWORKDAYS(AR_table[[#This Row],[due_date]],TODAY()))</f>
        <v>0</v>
      </c>
      <c r="G479" s="4" t="str">
        <f ca="1">VLOOKUP(AR_age_category!$F479,Table4[#All],2)</f>
        <v>Not due</v>
      </c>
    </row>
    <row r="480" spans="1:7" x14ac:dyDescent="0.3">
      <c r="A480" s="14" t="s">
        <v>470</v>
      </c>
      <c r="B480" s="4" t="s">
        <v>595</v>
      </c>
      <c r="C480" s="15">
        <v>45713</v>
      </c>
      <c r="D480" s="15">
        <f>WORKDAY(AR_age_category!$C480,$J$1)</f>
        <v>45755</v>
      </c>
      <c r="E480" s="16">
        <v>6682.82</v>
      </c>
      <c r="F480" s="21">
        <f ca="1">IF(AR_table[[#This Row],[due_date]]&gt;=TODAY(),0,NETWORKDAYS(AR_table[[#This Row],[due_date]],TODAY()))</f>
        <v>216</v>
      </c>
      <c r="G480" s="4" t="str">
        <f ca="1">VLOOKUP(AR_age_category!$F480,Table4[#All],2)</f>
        <v>&gt;90</v>
      </c>
    </row>
    <row r="481" spans="1:7" x14ac:dyDescent="0.3">
      <c r="A481" s="11" t="s">
        <v>471</v>
      </c>
      <c r="B481" s="2" t="s">
        <v>595</v>
      </c>
      <c r="C481" s="12">
        <v>45959</v>
      </c>
      <c r="D481" s="12">
        <f>WORKDAY(AR_age_category!$C481,$J$1)</f>
        <v>46001</v>
      </c>
      <c r="E481" s="13">
        <v>4718.18</v>
      </c>
      <c r="F481" s="21">
        <f ca="1">IF(AR_table[[#This Row],[due_date]]&gt;=TODAY(),0,NETWORKDAYS(AR_table[[#This Row],[due_date]],TODAY()))</f>
        <v>40</v>
      </c>
      <c r="G481" s="2" t="str">
        <f ca="1">VLOOKUP(AR_age_category!$F481,Table4[#All],2)</f>
        <v>31-60</v>
      </c>
    </row>
    <row r="482" spans="1:7" x14ac:dyDescent="0.3">
      <c r="A482" s="14" t="s">
        <v>472</v>
      </c>
      <c r="B482" s="4" t="s">
        <v>591</v>
      </c>
      <c r="C482" s="15">
        <v>46118</v>
      </c>
      <c r="D482" s="15">
        <f>WORKDAY(AR_age_category!$C482,$J$1)</f>
        <v>46160</v>
      </c>
      <c r="E482" s="16">
        <v>5413.68</v>
      </c>
      <c r="F482" s="21">
        <f ca="1">IF(AR_table[[#This Row],[due_date]]&gt;=TODAY(),0,NETWORKDAYS(AR_table[[#This Row],[due_date]],TODAY()))</f>
        <v>0</v>
      </c>
      <c r="G482" s="4" t="str">
        <f ca="1">VLOOKUP(AR_age_category!$F482,Table4[#All],2)</f>
        <v>Not due</v>
      </c>
    </row>
    <row r="483" spans="1:7" x14ac:dyDescent="0.3">
      <c r="A483" s="14" t="s">
        <v>473</v>
      </c>
      <c r="B483" s="4" t="s">
        <v>592</v>
      </c>
      <c r="C483" s="15">
        <v>46132</v>
      </c>
      <c r="D483" s="15">
        <f>WORKDAY(AR_age_category!$C483,$J$1)</f>
        <v>46174</v>
      </c>
      <c r="E483" s="16">
        <v>1016.83</v>
      </c>
      <c r="F483" s="21">
        <f ca="1">IF(AR_table[[#This Row],[due_date]]&gt;=TODAY(),0,NETWORKDAYS(AR_table[[#This Row],[due_date]],TODAY()))</f>
        <v>0</v>
      </c>
      <c r="G483" s="4" t="str">
        <f ca="1">VLOOKUP(AR_age_category!$F483,Table4[#All],2)</f>
        <v>Not due</v>
      </c>
    </row>
    <row r="484" spans="1:7" x14ac:dyDescent="0.3">
      <c r="A484" s="11" t="s">
        <v>474</v>
      </c>
      <c r="B484" s="2" t="s">
        <v>594</v>
      </c>
      <c r="C484" s="12">
        <v>45798</v>
      </c>
      <c r="D484" s="12">
        <f>WORKDAY(AR_age_category!$C484,$J$1)</f>
        <v>45840</v>
      </c>
      <c r="E484" s="13">
        <v>4967.9399999999996</v>
      </c>
      <c r="F484" s="21">
        <f ca="1">IF(AR_table[[#This Row],[due_date]]&gt;=TODAY(),0,NETWORKDAYS(AR_table[[#This Row],[due_date]],TODAY()))</f>
        <v>155</v>
      </c>
      <c r="G484" s="2" t="str">
        <f ca="1">VLOOKUP(AR_age_category!$F484,Table4[#All],2)</f>
        <v>&gt;90</v>
      </c>
    </row>
    <row r="485" spans="1:7" x14ac:dyDescent="0.3">
      <c r="A485" s="11" t="s">
        <v>475</v>
      </c>
      <c r="B485" s="2" t="s">
        <v>591</v>
      </c>
      <c r="C485" s="12">
        <v>46114</v>
      </c>
      <c r="D485" s="12">
        <f>WORKDAY(AR_age_category!$C485,$J$1)</f>
        <v>46156</v>
      </c>
      <c r="E485" s="13">
        <v>2725.11</v>
      </c>
      <c r="F485" s="21">
        <f ca="1">IF(AR_table[[#This Row],[due_date]]&gt;=TODAY(),0,NETWORKDAYS(AR_table[[#This Row],[due_date]],TODAY()))</f>
        <v>0</v>
      </c>
      <c r="G485" s="2" t="str">
        <f ca="1">VLOOKUP(AR_age_category!$F485,Table4[#All],2)</f>
        <v>Not due</v>
      </c>
    </row>
    <row r="486" spans="1:7" x14ac:dyDescent="0.3">
      <c r="A486" s="11" t="s">
        <v>476</v>
      </c>
      <c r="B486" s="2" t="s">
        <v>595</v>
      </c>
      <c r="C486" s="12">
        <v>45906</v>
      </c>
      <c r="D486" s="12">
        <f>WORKDAY(AR_age_category!$C486,$J$1)</f>
        <v>45947</v>
      </c>
      <c r="E486" s="13">
        <v>379.48</v>
      </c>
      <c r="F486" s="21">
        <f ca="1">IF(AR_table[[#This Row],[due_date]]&gt;=TODAY(),0,NETWORKDAYS(AR_table[[#This Row],[due_date]],TODAY()))</f>
        <v>78</v>
      </c>
      <c r="G486" s="2" t="str">
        <f ca="1">VLOOKUP(AR_age_category!$F486,Table4[#All],2)</f>
        <v>61-90</v>
      </c>
    </row>
    <row r="487" spans="1:7" x14ac:dyDescent="0.3">
      <c r="A487" s="14" t="s">
        <v>477</v>
      </c>
      <c r="B487" s="4" t="s">
        <v>595</v>
      </c>
      <c r="C487" s="15">
        <v>45758</v>
      </c>
      <c r="D487" s="15">
        <f>WORKDAY(AR_age_category!$C487,$J$1)</f>
        <v>45800</v>
      </c>
      <c r="E487" s="16">
        <v>7372.24</v>
      </c>
      <c r="F487" s="21">
        <f ca="1">IF(AR_table[[#This Row],[due_date]]&gt;=TODAY(),0,NETWORKDAYS(AR_table[[#This Row],[due_date]],TODAY()))</f>
        <v>183</v>
      </c>
      <c r="G487" s="4" t="str">
        <f ca="1">VLOOKUP(AR_age_category!$F487,Table4[#All],2)</f>
        <v>&gt;90</v>
      </c>
    </row>
    <row r="488" spans="1:7" x14ac:dyDescent="0.3">
      <c r="A488" s="14" t="s">
        <v>478</v>
      </c>
      <c r="B488" s="4" t="s">
        <v>594</v>
      </c>
      <c r="C488" s="15">
        <v>45793</v>
      </c>
      <c r="D488" s="15">
        <f>WORKDAY(AR_age_category!$C488,$J$1)</f>
        <v>45835</v>
      </c>
      <c r="E488" s="16">
        <v>528.38</v>
      </c>
      <c r="F488" s="21">
        <f ca="1">IF(AR_table[[#This Row],[due_date]]&gt;=TODAY(),0,NETWORKDAYS(AR_table[[#This Row],[due_date]],TODAY()))</f>
        <v>158</v>
      </c>
      <c r="G488" s="4" t="str">
        <f ca="1">VLOOKUP(AR_age_category!$F488,Table4[#All],2)</f>
        <v>&gt;90</v>
      </c>
    </row>
    <row r="489" spans="1:7" x14ac:dyDescent="0.3">
      <c r="A489" s="11" t="s">
        <v>479</v>
      </c>
      <c r="B489" s="2" t="s">
        <v>593</v>
      </c>
      <c r="C489" s="12">
        <v>45880</v>
      </c>
      <c r="D489" s="12">
        <f>WORKDAY(AR_age_category!$C489,$J$1)</f>
        <v>45922</v>
      </c>
      <c r="E489" s="13">
        <v>6586.87</v>
      </c>
      <c r="F489" s="21">
        <f ca="1">IF(AR_table[[#This Row],[due_date]]&gt;=TODAY(),0,NETWORKDAYS(AR_table[[#This Row],[due_date]],TODAY()))</f>
        <v>97</v>
      </c>
      <c r="G489" s="2" t="str">
        <f ca="1">VLOOKUP(AR_age_category!$F489,Table4[#All],2)</f>
        <v>&gt;90</v>
      </c>
    </row>
    <row r="490" spans="1:7" x14ac:dyDescent="0.3">
      <c r="A490" s="14" t="s">
        <v>480</v>
      </c>
      <c r="B490" s="4" t="s">
        <v>592</v>
      </c>
      <c r="C490" s="15">
        <v>46114</v>
      </c>
      <c r="D490" s="15">
        <f>WORKDAY(AR_age_category!$C490,$J$1)</f>
        <v>46156</v>
      </c>
      <c r="E490" s="16">
        <v>1050.93</v>
      </c>
      <c r="F490" s="21">
        <f ca="1">IF(AR_table[[#This Row],[due_date]]&gt;=TODAY(),0,NETWORKDAYS(AR_table[[#This Row],[due_date]],TODAY()))</f>
        <v>0</v>
      </c>
      <c r="G490" s="4" t="str">
        <f ca="1">VLOOKUP(AR_age_category!$F490,Table4[#All],2)</f>
        <v>Not due</v>
      </c>
    </row>
    <row r="491" spans="1:7" x14ac:dyDescent="0.3">
      <c r="A491" s="11" t="s">
        <v>481</v>
      </c>
      <c r="B491" s="2" t="s">
        <v>591</v>
      </c>
      <c r="C491" s="12">
        <v>45702</v>
      </c>
      <c r="D491" s="12">
        <f>WORKDAY(AR_age_category!$C491,$J$1)</f>
        <v>45744</v>
      </c>
      <c r="E491" s="13">
        <v>2238.7600000000002</v>
      </c>
      <c r="F491" s="21">
        <f ca="1">IF(AR_table[[#This Row],[due_date]]&gt;=TODAY(),0,NETWORKDAYS(AR_table[[#This Row],[due_date]],TODAY()))</f>
        <v>223</v>
      </c>
      <c r="G491" s="2" t="str">
        <f ca="1">VLOOKUP(AR_age_category!$F491,Table4[#All],2)</f>
        <v>&gt;90</v>
      </c>
    </row>
    <row r="492" spans="1:7" x14ac:dyDescent="0.3">
      <c r="A492" s="14" t="s">
        <v>482</v>
      </c>
      <c r="B492" s="4" t="s">
        <v>592</v>
      </c>
      <c r="C492" s="15">
        <v>45736</v>
      </c>
      <c r="D492" s="15">
        <f>WORKDAY(AR_age_category!$C492,$J$1)</f>
        <v>45778</v>
      </c>
      <c r="E492" s="16">
        <v>6394.62</v>
      </c>
      <c r="F492" s="21">
        <f ca="1">IF(AR_table[[#This Row],[due_date]]&gt;=TODAY(),0,NETWORKDAYS(AR_table[[#This Row],[due_date]],TODAY()))</f>
        <v>199</v>
      </c>
      <c r="G492" s="4" t="str">
        <f ca="1">VLOOKUP(AR_age_category!$F492,Table4[#All],2)</f>
        <v>&gt;90</v>
      </c>
    </row>
    <row r="493" spans="1:7" x14ac:dyDescent="0.3">
      <c r="A493" s="11" t="s">
        <v>483</v>
      </c>
      <c r="B493" s="2" t="s">
        <v>594</v>
      </c>
      <c r="C493" s="12">
        <v>45811</v>
      </c>
      <c r="D493" s="12">
        <f>WORKDAY(AR_age_category!$C493,$J$1)</f>
        <v>45853</v>
      </c>
      <c r="E493" s="13">
        <v>7492.09</v>
      </c>
      <c r="F493" s="21">
        <f ca="1">IF(AR_table[[#This Row],[due_date]]&gt;=TODAY(),0,NETWORKDAYS(AR_table[[#This Row],[due_date]],TODAY()))</f>
        <v>146</v>
      </c>
      <c r="G493" s="2" t="str">
        <f ca="1">VLOOKUP(AR_age_category!$F493,Table4[#All],2)</f>
        <v>&gt;90</v>
      </c>
    </row>
    <row r="494" spans="1:7" x14ac:dyDescent="0.3">
      <c r="A494" s="14" t="s">
        <v>484</v>
      </c>
      <c r="B494" s="4" t="s">
        <v>591</v>
      </c>
      <c r="C494" s="15">
        <v>46098</v>
      </c>
      <c r="D494" s="15">
        <f>WORKDAY(AR_age_category!$C494,$J$1)</f>
        <v>46140</v>
      </c>
      <c r="E494" s="16">
        <v>4830.54</v>
      </c>
      <c r="F494" s="21">
        <f ca="1">IF(AR_table[[#This Row],[due_date]]&gt;=TODAY(),0,NETWORKDAYS(AR_table[[#This Row],[due_date]],TODAY()))</f>
        <v>0</v>
      </c>
      <c r="G494" s="4" t="str">
        <f ca="1">VLOOKUP(AR_age_category!$F494,Table4[#All],2)</f>
        <v>Not due</v>
      </c>
    </row>
    <row r="495" spans="1:7" x14ac:dyDescent="0.3">
      <c r="A495" s="11" t="s">
        <v>485</v>
      </c>
      <c r="B495" s="2" t="s">
        <v>592</v>
      </c>
      <c r="C495" s="12">
        <v>46184</v>
      </c>
      <c r="D495" s="12">
        <f>WORKDAY(AR_age_category!$C495,$J$1)</f>
        <v>46226</v>
      </c>
      <c r="E495" s="13">
        <v>4670.08</v>
      </c>
      <c r="F495" s="21">
        <f ca="1">IF(AR_table[[#This Row],[due_date]]&gt;=TODAY(),0,NETWORKDAYS(AR_table[[#This Row],[due_date]],TODAY()))</f>
        <v>0</v>
      </c>
      <c r="G495" s="2" t="str">
        <f ca="1">VLOOKUP(AR_age_category!$F495,Table4[#All],2)</f>
        <v>Not due</v>
      </c>
    </row>
    <row r="496" spans="1:7" x14ac:dyDescent="0.3">
      <c r="A496" s="11" t="s">
        <v>486</v>
      </c>
      <c r="B496" s="2" t="s">
        <v>592</v>
      </c>
      <c r="C496" s="12">
        <v>45731</v>
      </c>
      <c r="D496" s="12">
        <f>WORKDAY(AR_age_category!$C496,$J$1)</f>
        <v>45772</v>
      </c>
      <c r="E496" s="13">
        <v>4219.6099999999997</v>
      </c>
      <c r="F496" s="21">
        <f ca="1">IF(AR_table[[#This Row],[due_date]]&gt;=TODAY(),0,NETWORKDAYS(AR_table[[#This Row],[due_date]],TODAY()))</f>
        <v>203</v>
      </c>
      <c r="G496" s="2" t="str">
        <f ca="1">VLOOKUP(AR_age_category!$F496,Table4[#All],2)</f>
        <v>&gt;90</v>
      </c>
    </row>
    <row r="497" spans="1:7" x14ac:dyDescent="0.3">
      <c r="A497" s="11" t="s">
        <v>487</v>
      </c>
      <c r="B497" s="2" t="s">
        <v>594</v>
      </c>
      <c r="C497" s="12">
        <v>46112</v>
      </c>
      <c r="D497" s="12">
        <f>WORKDAY(AR_age_category!$C497,$J$1)</f>
        <v>46154</v>
      </c>
      <c r="E497" s="13">
        <v>3127.27</v>
      </c>
      <c r="F497" s="21">
        <f ca="1">IF(AR_table[[#This Row],[due_date]]&gt;=TODAY(),0,NETWORKDAYS(AR_table[[#This Row],[due_date]],TODAY()))</f>
        <v>0</v>
      </c>
      <c r="G497" s="2" t="str">
        <f ca="1">VLOOKUP(AR_age_category!$F497,Table4[#All],2)</f>
        <v>Not due</v>
      </c>
    </row>
    <row r="498" spans="1:7" x14ac:dyDescent="0.3">
      <c r="A498" s="11" t="s">
        <v>488</v>
      </c>
      <c r="B498" s="2" t="s">
        <v>592</v>
      </c>
      <c r="C498" s="12">
        <v>45960</v>
      </c>
      <c r="D498" s="12">
        <f>WORKDAY(AR_age_category!$C498,$J$1)</f>
        <v>46002</v>
      </c>
      <c r="E498" s="13">
        <v>5614.34</v>
      </c>
      <c r="F498" s="21">
        <f ca="1">IF(AR_table[[#This Row],[due_date]]&gt;=TODAY(),0,NETWORKDAYS(AR_table[[#This Row],[due_date]],TODAY()))</f>
        <v>39</v>
      </c>
      <c r="G498" s="2" t="str">
        <f ca="1">VLOOKUP(AR_age_category!$F498,Table4[#All],2)</f>
        <v>31-60</v>
      </c>
    </row>
    <row r="499" spans="1:7" x14ac:dyDescent="0.3">
      <c r="A499" s="14" t="s">
        <v>489</v>
      </c>
      <c r="B499" s="4" t="s">
        <v>595</v>
      </c>
      <c r="C499" s="15">
        <v>45687</v>
      </c>
      <c r="D499" s="15">
        <f>WORKDAY(AR_age_category!$C499,$J$1)</f>
        <v>45729</v>
      </c>
      <c r="E499" s="16">
        <v>7144.44</v>
      </c>
      <c r="F499" s="21">
        <f ca="1">IF(AR_table[[#This Row],[due_date]]&gt;=TODAY(),0,NETWORKDAYS(AR_table[[#This Row],[due_date]],TODAY()))</f>
        <v>234</v>
      </c>
      <c r="G499" s="4" t="str">
        <f ca="1">VLOOKUP(AR_age_category!$F499,Table4[#All],2)</f>
        <v>&gt;90</v>
      </c>
    </row>
    <row r="500" spans="1:7" x14ac:dyDescent="0.3">
      <c r="A500" s="14" t="s">
        <v>490</v>
      </c>
      <c r="B500" s="4" t="s">
        <v>593</v>
      </c>
      <c r="C500" s="15">
        <v>46155</v>
      </c>
      <c r="D500" s="15">
        <f>WORKDAY(AR_age_category!$C500,$J$1)</f>
        <v>46197</v>
      </c>
      <c r="E500" s="16">
        <v>4558.47</v>
      </c>
      <c r="F500" s="21">
        <f ca="1">IF(AR_table[[#This Row],[due_date]]&gt;=TODAY(),0,NETWORKDAYS(AR_table[[#This Row],[due_date]],TODAY()))</f>
        <v>0</v>
      </c>
      <c r="G500" s="4" t="str">
        <f ca="1">VLOOKUP(AR_age_category!$F500,Table4[#All],2)</f>
        <v>Not due</v>
      </c>
    </row>
    <row r="501" spans="1:7" x14ac:dyDescent="0.3">
      <c r="A501" s="11" t="s">
        <v>491</v>
      </c>
      <c r="B501" s="2" t="s">
        <v>592</v>
      </c>
      <c r="C501" s="12">
        <v>45679</v>
      </c>
      <c r="D501" s="12">
        <f>WORKDAY(AR_age_category!$C501,$J$1)</f>
        <v>45721</v>
      </c>
      <c r="E501" s="13">
        <v>1528</v>
      </c>
      <c r="F501" s="21">
        <f ca="1">IF(AR_table[[#This Row],[due_date]]&gt;=TODAY(),0,NETWORKDAYS(AR_table[[#This Row],[due_date]],TODAY()))</f>
        <v>240</v>
      </c>
      <c r="G501" s="2" t="str">
        <f ca="1">VLOOKUP(AR_age_category!$F501,Table4[#All],2)</f>
        <v>&gt;90</v>
      </c>
    </row>
    <row r="502" spans="1:7" x14ac:dyDescent="0.3">
      <c r="A502" s="11" t="s">
        <v>492</v>
      </c>
      <c r="B502" s="2" t="s">
        <v>592</v>
      </c>
      <c r="C502" s="12">
        <v>45746</v>
      </c>
      <c r="D502" s="12">
        <f>WORKDAY(AR_age_category!$C502,$J$1)</f>
        <v>45786</v>
      </c>
      <c r="E502" s="13">
        <v>4757.3900000000003</v>
      </c>
      <c r="F502" s="21">
        <f ca="1">IF(AR_table[[#This Row],[due_date]]&gt;=TODAY(),0,NETWORKDAYS(AR_table[[#This Row],[due_date]],TODAY()))</f>
        <v>193</v>
      </c>
      <c r="G502" s="2" t="str">
        <f ca="1">VLOOKUP(AR_age_category!$F502,Table4[#All],2)</f>
        <v>&gt;90</v>
      </c>
    </row>
    <row r="503" spans="1:7" x14ac:dyDescent="0.3">
      <c r="A503" s="11" t="s">
        <v>493</v>
      </c>
      <c r="B503" s="2" t="s">
        <v>595</v>
      </c>
      <c r="C503" s="12">
        <v>46098</v>
      </c>
      <c r="D503" s="12">
        <f>WORKDAY(AR_age_category!$C503,$J$1)</f>
        <v>46140</v>
      </c>
      <c r="E503" s="13">
        <v>1445.59</v>
      </c>
      <c r="F503" s="21">
        <f ca="1">IF(AR_table[[#This Row],[due_date]]&gt;=TODAY(),0,NETWORKDAYS(AR_table[[#This Row],[due_date]],TODAY()))</f>
        <v>0</v>
      </c>
      <c r="G503" s="2" t="str">
        <f ca="1">VLOOKUP(AR_age_category!$F503,Table4[#All],2)</f>
        <v>Not due</v>
      </c>
    </row>
    <row r="504" spans="1:7" x14ac:dyDescent="0.3">
      <c r="A504" s="11" t="s">
        <v>494</v>
      </c>
      <c r="B504" s="2" t="s">
        <v>594</v>
      </c>
      <c r="C504" s="12">
        <v>45737</v>
      </c>
      <c r="D504" s="12">
        <f>WORKDAY(AR_age_category!$C504,$J$1)</f>
        <v>45779</v>
      </c>
      <c r="E504" s="13">
        <v>5530.33</v>
      </c>
      <c r="F504" s="21">
        <f ca="1">IF(AR_table[[#This Row],[due_date]]&gt;=TODAY(),0,NETWORKDAYS(AR_table[[#This Row],[due_date]],TODAY()))</f>
        <v>198</v>
      </c>
      <c r="G504" s="2" t="str">
        <f ca="1">VLOOKUP(AR_age_category!$F504,Table4[#All],2)</f>
        <v>&gt;90</v>
      </c>
    </row>
    <row r="505" spans="1:7" x14ac:dyDescent="0.3">
      <c r="A505" s="14" t="s">
        <v>495</v>
      </c>
      <c r="B505" s="4" t="s">
        <v>591</v>
      </c>
      <c r="C505" s="15">
        <v>46141</v>
      </c>
      <c r="D505" s="15">
        <f>WORKDAY(AR_age_category!$C505,$J$1)</f>
        <v>46183</v>
      </c>
      <c r="E505" s="16">
        <v>2790.34</v>
      </c>
      <c r="F505" s="21">
        <f ca="1">IF(AR_table[[#This Row],[due_date]]&gt;=TODAY(),0,NETWORKDAYS(AR_table[[#This Row],[due_date]],TODAY()))</f>
        <v>0</v>
      </c>
      <c r="G505" s="4" t="str">
        <f ca="1">VLOOKUP(AR_age_category!$F505,Table4[#All],2)</f>
        <v>Not due</v>
      </c>
    </row>
    <row r="506" spans="1:7" x14ac:dyDescent="0.3">
      <c r="A506" s="11" t="s">
        <v>496</v>
      </c>
      <c r="B506" s="2" t="s">
        <v>591</v>
      </c>
      <c r="C506" s="12">
        <v>45670</v>
      </c>
      <c r="D506" s="12">
        <f>WORKDAY(AR_age_category!$C506,$J$1)</f>
        <v>45712</v>
      </c>
      <c r="E506" s="13">
        <v>7511.89</v>
      </c>
      <c r="F506" s="21">
        <f ca="1">IF(AR_table[[#This Row],[due_date]]&gt;=TODAY(),0,NETWORKDAYS(AR_table[[#This Row],[due_date]],TODAY()))</f>
        <v>247</v>
      </c>
      <c r="G506" s="2" t="str">
        <f ca="1">VLOOKUP(AR_age_category!$F506,Table4[#All],2)</f>
        <v>&gt;90</v>
      </c>
    </row>
    <row r="507" spans="1:7" x14ac:dyDescent="0.3">
      <c r="A507" s="14" t="s">
        <v>497</v>
      </c>
      <c r="B507" s="4" t="s">
        <v>595</v>
      </c>
      <c r="C507" s="15">
        <v>45979</v>
      </c>
      <c r="D507" s="15">
        <f>WORKDAY(AR_age_category!$C507,$J$1)</f>
        <v>46021</v>
      </c>
      <c r="E507" s="16">
        <v>7449.48</v>
      </c>
      <c r="F507" s="21">
        <f ca="1">IF(AR_table[[#This Row],[due_date]]&gt;=TODAY(),0,NETWORKDAYS(AR_table[[#This Row],[due_date]],TODAY()))</f>
        <v>26</v>
      </c>
      <c r="G507" s="4" t="str">
        <f ca="1">VLOOKUP(AR_age_category!$F507,Table4[#All],2)</f>
        <v>1-30</v>
      </c>
    </row>
    <row r="508" spans="1:7" x14ac:dyDescent="0.3">
      <c r="A508" s="11" t="s">
        <v>498</v>
      </c>
      <c r="B508" s="2" t="s">
        <v>591</v>
      </c>
      <c r="C508" s="12">
        <v>45815</v>
      </c>
      <c r="D508" s="12">
        <f>WORKDAY(AR_age_category!$C508,$J$1)</f>
        <v>45856</v>
      </c>
      <c r="E508" s="13">
        <v>5701.18</v>
      </c>
      <c r="F508" s="21">
        <f ca="1">IF(AR_table[[#This Row],[due_date]]&gt;=TODAY(),0,NETWORKDAYS(AR_table[[#This Row],[due_date]],TODAY()))</f>
        <v>143</v>
      </c>
      <c r="G508" s="2" t="str">
        <f ca="1">VLOOKUP(AR_age_category!$F508,Table4[#All],2)</f>
        <v>&gt;90</v>
      </c>
    </row>
    <row r="509" spans="1:7" x14ac:dyDescent="0.3">
      <c r="A509" s="14" t="s">
        <v>499</v>
      </c>
      <c r="B509" s="4" t="s">
        <v>592</v>
      </c>
      <c r="C509" s="15">
        <v>45787</v>
      </c>
      <c r="D509" s="15">
        <f>WORKDAY(AR_age_category!$C509,$J$1)</f>
        <v>45828</v>
      </c>
      <c r="E509" s="16">
        <v>2707.82</v>
      </c>
      <c r="F509" s="21">
        <f ca="1">IF(AR_table[[#This Row],[due_date]]&gt;=TODAY(),0,NETWORKDAYS(AR_table[[#This Row],[due_date]],TODAY()))</f>
        <v>163</v>
      </c>
      <c r="G509" s="4" t="str">
        <f ca="1">VLOOKUP(AR_age_category!$F509,Table4[#All],2)</f>
        <v>&gt;90</v>
      </c>
    </row>
    <row r="510" spans="1:7" x14ac:dyDescent="0.3">
      <c r="A510" s="11" t="s">
        <v>500</v>
      </c>
      <c r="B510" s="2" t="s">
        <v>592</v>
      </c>
      <c r="C510" s="12">
        <v>46039</v>
      </c>
      <c r="D510" s="12">
        <f>WORKDAY(AR_age_category!$C510,$J$1)</f>
        <v>46080</v>
      </c>
      <c r="E510" s="13">
        <v>289.7</v>
      </c>
      <c r="F510" s="21">
        <f ca="1">IF(AR_table[[#This Row],[due_date]]&gt;=TODAY(),0,NETWORKDAYS(AR_table[[#This Row],[due_date]],TODAY()))</f>
        <v>0</v>
      </c>
      <c r="G510" s="2" t="str">
        <f ca="1">VLOOKUP(AR_age_category!$F510,Table4[#All],2)</f>
        <v>Not due</v>
      </c>
    </row>
    <row r="511" spans="1:7" x14ac:dyDescent="0.3">
      <c r="A511" s="14" t="s">
        <v>501</v>
      </c>
      <c r="B511" s="4" t="s">
        <v>594</v>
      </c>
      <c r="C511" s="15">
        <v>46181</v>
      </c>
      <c r="D511" s="15">
        <f>WORKDAY(AR_age_category!$C511,$J$1)</f>
        <v>46223</v>
      </c>
      <c r="E511" s="16">
        <v>3246.06</v>
      </c>
      <c r="F511" s="21">
        <f ca="1">IF(AR_table[[#This Row],[due_date]]&gt;=TODAY(),0,NETWORKDAYS(AR_table[[#This Row],[due_date]],TODAY()))</f>
        <v>0</v>
      </c>
      <c r="G511" s="4" t="str">
        <f ca="1">VLOOKUP(AR_age_category!$F511,Table4[#All],2)</f>
        <v>Not due</v>
      </c>
    </row>
    <row r="512" spans="1:7" x14ac:dyDescent="0.3">
      <c r="A512" s="14" t="s">
        <v>502</v>
      </c>
      <c r="B512" s="4" t="s">
        <v>591</v>
      </c>
      <c r="C512" s="15">
        <v>45698</v>
      </c>
      <c r="D512" s="15">
        <f>WORKDAY(AR_age_category!$C512,$J$1)</f>
        <v>45740</v>
      </c>
      <c r="E512" s="16">
        <v>4564.2</v>
      </c>
      <c r="F512" s="21">
        <f ca="1">IF(AR_table[[#This Row],[due_date]]&gt;=TODAY(),0,NETWORKDAYS(AR_table[[#This Row],[due_date]],TODAY()))</f>
        <v>227</v>
      </c>
      <c r="G512" s="4" t="str">
        <f ca="1">VLOOKUP(AR_age_category!$F512,Table4[#All],2)</f>
        <v>&gt;90</v>
      </c>
    </row>
    <row r="513" spans="1:7" x14ac:dyDescent="0.3">
      <c r="A513" s="14" t="s">
        <v>503</v>
      </c>
      <c r="B513" s="4" t="s">
        <v>595</v>
      </c>
      <c r="C513" s="15">
        <v>45873</v>
      </c>
      <c r="D513" s="15">
        <f>WORKDAY(AR_age_category!$C513,$J$1)</f>
        <v>45915</v>
      </c>
      <c r="E513" s="16">
        <v>4181.1899999999996</v>
      </c>
      <c r="F513" s="21">
        <f ca="1">IF(AR_table[[#This Row],[due_date]]&gt;=TODAY(),0,NETWORKDAYS(AR_table[[#This Row],[due_date]],TODAY()))</f>
        <v>102</v>
      </c>
      <c r="G513" s="4" t="str">
        <f ca="1">VLOOKUP(AR_age_category!$F513,Table4[#All],2)</f>
        <v>&gt;90</v>
      </c>
    </row>
    <row r="514" spans="1:7" x14ac:dyDescent="0.3">
      <c r="A514" s="14" t="s">
        <v>504</v>
      </c>
      <c r="B514" s="4" t="s">
        <v>594</v>
      </c>
      <c r="C514" s="15">
        <v>45891</v>
      </c>
      <c r="D514" s="15">
        <f>WORKDAY(AR_age_category!$C514,$J$1)</f>
        <v>45933</v>
      </c>
      <c r="E514" s="16">
        <v>5261.47</v>
      </c>
      <c r="F514" s="21">
        <f ca="1">IF(AR_table[[#This Row],[due_date]]&gt;=TODAY(),0,NETWORKDAYS(AR_table[[#This Row],[due_date]],TODAY()))</f>
        <v>88</v>
      </c>
      <c r="G514" s="4" t="str">
        <f ca="1">VLOOKUP(AR_age_category!$F514,Table4[#All],2)</f>
        <v>61-90</v>
      </c>
    </row>
    <row r="515" spans="1:7" x14ac:dyDescent="0.3">
      <c r="A515" s="11" t="s">
        <v>505</v>
      </c>
      <c r="B515" s="2" t="s">
        <v>595</v>
      </c>
      <c r="C515" s="12">
        <v>45994</v>
      </c>
      <c r="D515" s="12">
        <f>WORKDAY(AR_age_category!$C515,$J$1)</f>
        <v>46036</v>
      </c>
      <c r="E515" s="13">
        <v>4961.4399999999996</v>
      </c>
      <c r="F515" s="21">
        <f ca="1">IF(AR_table[[#This Row],[due_date]]&gt;=TODAY(),0,NETWORKDAYS(AR_table[[#This Row],[due_date]],TODAY()))</f>
        <v>15</v>
      </c>
      <c r="G515" s="2" t="str">
        <f ca="1">VLOOKUP(AR_age_category!$F515,Table4[#All],2)</f>
        <v>1-30</v>
      </c>
    </row>
    <row r="516" spans="1:7" x14ac:dyDescent="0.3">
      <c r="A516" s="11" t="s">
        <v>506</v>
      </c>
      <c r="B516" s="2" t="s">
        <v>592</v>
      </c>
      <c r="C516" s="12">
        <v>46146</v>
      </c>
      <c r="D516" s="12">
        <f>WORKDAY(AR_age_category!$C516,$J$1)</f>
        <v>46188</v>
      </c>
      <c r="E516" s="13">
        <v>556.26</v>
      </c>
      <c r="F516" s="21">
        <f ca="1">IF(AR_table[[#This Row],[due_date]]&gt;=TODAY(),0,NETWORKDAYS(AR_table[[#This Row],[due_date]],TODAY()))</f>
        <v>0</v>
      </c>
      <c r="G516" s="2" t="str">
        <f ca="1">VLOOKUP(AR_age_category!$F516,Table4[#All],2)</f>
        <v>Not due</v>
      </c>
    </row>
    <row r="517" spans="1:7" x14ac:dyDescent="0.3">
      <c r="A517" s="14" t="s">
        <v>507</v>
      </c>
      <c r="B517" s="4" t="s">
        <v>595</v>
      </c>
      <c r="C517" s="15">
        <v>46117</v>
      </c>
      <c r="D517" s="15">
        <f>WORKDAY(AR_age_category!$C517,$J$1)</f>
        <v>46157</v>
      </c>
      <c r="E517" s="16">
        <v>3646.79</v>
      </c>
      <c r="F517" s="21">
        <f ca="1">IF(AR_table[[#This Row],[due_date]]&gt;=TODAY(),0,NETWORKDAYS(AR_table[[#This Row],[due_date]],TODAY()))</f>
        <v>0</v>
      </c>
      <c r="G517" s="4" t="str">
        <f ca="1">VLOOKUP(AR_age_category!$F517,Table4[#All],2)</f>
        <v>Not due</v>
      </c>
    </row>
    <row r="518" spans="1:7" x14ac:dyDescent="0.3">
      <c r="A518" s="14" t="s">
        <v>508</v>
      </c>
      <c r="B518" s="4" t="s">
        <v>594</v>
      </c>
      <c r="C518" s="15">
        <v>45761</v>
      </c>
      <c r="D518" s="15">
        <f>WORKDAY(AR_age_category!$C518,$J$1)</f>
        <v>45803</v>
      </c>
      <c r="E518" s="16">
        <v>3961.35</v>
      </c>
      <c r="F518" s="21">
        <f ca="1">IF(AR_table[[#This Row],[due_date]]&gt;=TODAY(),0,NETWORKDAYS(AR_table[[#This Row],[due_date]],TODAY()))</f>
        <v>182</v>
      </c>
      <c r="G518" s="4" t="str">
        <f ca="1">VLOOKUP(AR_age_category!$F518,Table4[#All],2)</f>
        <v>&gt;90</v>
      </c>
    </row>
    <row r="519" spans="1:7" x14ac:dyDescent="0.3">
      <c r="A519" s="14" t="s">
        <v>509</v>
      </c>
      <c r="B519" s="4" t="s">
        <v>594</v>
      </c>
      <c r="C519" s="15">
        <v>45684</v>
      </c>
      <c r="D519" s="15">
        <f>WORKDAY(AR_age_category!$C519,$J$1)</f>
        <v>45726</v>
      </c>
      <c r="E519" s="16">
        <v>1812.47</v>
      </c>
      <c r="F519" s="21">
        <f ca="1">IF(AR_table[[#This Row],[due_date]]&gt;=TODAY(),0,NETWORKDAYS(AR_table[[#This Row],[due_date]],TODAY()))</f>
        <v>237</v>
      </c>
      <c r="G519" s="4" t="str">
        <f ca="1">VLOOKUP(AR_age_category!$F519,Table4[#All],2)</f>
        <v>&gt;90</v>
      </c>
    </row>
    <row r="520" spans="1:7" x14ac:dyDescent="0.3">
      <c r="A520" s="11" t="s">
        <v>510</v>
      </c>
      <c r="B520" s="2" t="s">
        <v>595</v>
      </c>
      <c r="C520" s="12">
        <v>46006</v>
      </c>
      <c r="D520" s="12">
        <f>WORKDAY(AR_age_category!$C520,$J$1)</f>
        <v>46048</v>
      </c>
      <c r="E520" s="13">
        <v>661.49</v>
      </c>
      <c r="F520" s="21">
        <f ca="1">IF(AR_table[[#This Row],[due_date]]&gt;=TODAY(),0,NETWORKDAYS(AR_table[[#This Row],[due_date]],TODAY()))</f>
        <v>7</v>
      </c>
      <c r="G520" s="2" t="str">
        <f ca="1">VLOOKUP(AR_age_category!$F520,Table4[#All],2)</f>
        <v>1-30</v>
      </c>
    </row>
    <row r="521" spans="1:7" x14ac:dyDescent="0.3">
      <c r="A521" s="11" t="s">
        <v>511</v>
      </c>
      <c r="B521" s="2" t="s">
        <v>594</v>
      </c>
      <c r="C521" s="12">
        <v>45705</v>
      </c>
      <c r="D521" s="12">
        <f>WORKDAY(AR_age_category!$C521,$J$1)</f>
        <v>45747</v>
      </c>
      <c r="E521" s="13">
        <v>1061.81</v>
      </c>
      <c r="F521" s="21">
        <f ca="1">IF(AR_table[[#This Row],[due_date]]&gt;=TODAY(),0,NETWORKDAYS(AR_table[[#This Row],[due_date]],TODAY()))</f>
        <v>222</v>
      </c>
      <c r="G521" s="2" t="str">
        <f ca="1">VLOOKUP(AR_age_category!$F521,Table4[#All],2)</f>
        <v>&gt;90</v>
      </c>
    </row>
    <row r="522" spans="1:7" x14ac:dyDescent="0.3">
      <c r="A522" s="11" t="s">
        <v>512</v>
      </c>
      <c r="B522" s="2" t="s">
        <v>593</v>
      </c>
      <c r="C522" s="12">
        <v>45998</v>
      </c>
      <c r="D522" s="12">
        <f>WORKDAY(AR_age_category!$C522,$J$1)</f>
        <v>46038</v>
      </c>
      <c r="E522" s="13">
        <v>3464.63</v>
      </c>
      <c r="F522" s="21">
        <f ca="1">IF(AR_table[[#This Row],[due_date]]&gt;=TODAY(),0,NETWORKDAYS(AR_table[[#This Row],[due_date]],TODAY()))</f>
        <v>13</v>
      </c>
      <c r="G522" s="2" t="str">
        <f ca="1">VLOOKUP(AR_age_category!$F522,Table4[#All],2)</f>
        <v>1-30</v>
      </c>
    </row>
    <row r="523" spans="1:7" x14ac:dyDescent="0.3">
      <c r="A523" s="14" t="s">
        <v>513</v>
      </c>
      <c r="B523" s="4" t="s">
        <v>592</v>
      </c>
      <c r="C523" s="15">
        <v>45961</v>
      </c>
      <c r="D523" s="15">
        <f>WORKDAY(AR_age_category!$C523,$J$1)</f>
        <v>46003</v>
      </c>
      <c r="E523" s="16">
        <v>686.86</v>
      </c>
      <c r="F523" s="21">
        <f ca="1">IF(AR_table[[#This Row],[due_date]]&gt;=TODAY(),0,NETWORKDAYS(AR_table[[#This Row],[due_date]],TODAY()))</f>
        <v>38</v>
      </c>
      <c r="G523" s="4" t="str">
        <f ca="1">VLOOKUP(AR_age_category!$F523,Table4[#All],2)</f>
        <v>31-60</v>
      </c>
    </row>
    <row r="524" spans="1:7" x14ac:dyDescent="0.3">
      <c r="A524" s="14" t="s">
        <v>514</v>
      </c>
      <c r="B524" s="4" t="s">
        <v>593</v>
      </c>
      <c r="C524" s="15">
        <v>45818</v>
      </c>
      <c r="D524" s="15">
        <f>WORKDAY(AR_age_category!$C524,$J$1)</f>
        <v>45860</v>
      </c>
      <c r="E524" s="16">
        <v>7091.17</v>
      </c>
      <c r="F524" s="21">
        <f ca="1">IF(AR_table[[#This Row],[due_date]]&gt;=TODAY(),0,NETWORKDAYS(AR_table[[#This Row],[due_date]],TODAY()))</f>
        <v>141</v>
      </c>
      <c r="G524" s="4" t="str">
        <f ca="1">VLOOKUP(AR_age_category!$F524,Table4[#All],2)</f>
        <v>&gt;90</v>
      </c>
    </row>
    <row r="525" spans="1:7" x14ac:dyDescent="0.3">
      <c r="A525" s="11" t="s">
        <v>515</v>
      </c>
      <c r="B525" s="2" t="s">
        <v>595</v>
      </c>
      <c r="C525" s="12">
        <v>45770</v>
      </c>
      <c r="D525" s="12">
        <f>WORKDAY(AR_age_category!$C525,$J$1)</f>
        <v>45812</v>
      </c>
      <c r="E525" s="13">
        <v>7699.12</v>
      </c>
      <c r="F525" s="21">
        <f ca="1">IF(AR_table[[#This Row],[due_date]]&gt;=TODAY(),0,NETWORKDAYS(AR_table[[#This Row],[due_date]],TODAY()))</f>
        <v>175</v>
      </c>
      <c r="G525" s="2" t="str">
        <f ca="1">VLOOKUP(AR_age_category!$F525,Table4[#All],2)</f>
        <v>&gt;90</v>
      </c>
    </row>
    <row r="526" spans="1:7" x14ac:dyDescent="0.3">
      <c r="A526" s="11" t="s">
        <v>516</v>
      </c>
      <c r="B526" s="2" t="s">
        <v>593</v>
      </c>
      <c r="C526" s="12">
        <v>45741</v>
      </c>
      <c r="D526" s="12">
        <f>WORKDAY(AR_age_category!$C526,$J$1)</f>
        <v>45783</v>
      </c>
      <c r="E526" s="13">
        <v>2075.5</v>
      </c>
      <c r="F526" s="21">
        <f ca="1">IF(AR_table[[#This Row],[due_date]]&gt;=TODAY(),0,NETWORKDAYS(AR_table[[#This Row],[due_date]],TODAY()))</f>
        <v>196</v>
      </c>
      <c r="G526" s="2" t="str">
        <f ca="1">VLOOKUP(AR_age_category!$F526,Table4[#All],2)</f>
        <v>&gt;90</v>
      </c>
    </row>
    <row r="527" spans="1:7" x14ac:dyDescent="0.3">
      <c r="A527" s="14" t="s">
        <v>517</v>
      </c>
      <c r="B527" s="4" t="s">
        <v>593</v>
      </c>
      <c r="C527" s="15">
        <v>45840</v>
      </c>
      <c r="D527" s="15">
        <f>WORKDAY(AR_age_category!$C527,$J$1)</f>
        <v>45882</v>
      </c>
      <c r="E527" s="16">
        <v>1547.05</v>
      </c>
      <c r="F527" s="21">
        <f ca="1">IF(AR_table[[#This Row],[due_date]]&gt;=TODAY(),0,NETWORKDAYS(AR_table[[#This Row],[due_date]],TODAY()))</f>
        <v>125</v>
      </c>
      <c r="G527" s="4" t="str">
        <f ca="1">VLOOKUP(AR_age_category!$F527,Table4[#All],2)</f>
        <v>&gt;90</v>
      </c>
    </row>
    <row r="528" spans="1:7" x14ac:dyDescent="0.3">
      <c r="A528" s="11" t="s">
        <v>518</v>
      </c>
      <c r="B528" s="2" t="s">
        <v>593</v>
      </c>
      <c r="C528" s="12">
        <v>46132</v>
      </c>
      <c r="D528" s="12">
        <f>WORKDAY(AR_age_category!$C528,$J$1)</f>
        <v>46174</v>
      </c>
      <c r="E528" s="13">
        <v>200.4</v>
      </c>
      <c r="F528" s="21">
        <f ca="1">IF(AR_table[[#This Row],[due_date]]&gt;=TODAY(),0,NETWORKDAYS(AR_table[[#This Row],[due_date]],TODAY()))</f>
        <v>0</v>
      </c>
      <c r="G528" s="2" t="str">
        <f ca="1">VLOOKUP(AR_age_category!$F528,Table4[#All],2)</f>
        <v>Not due</v>
      </c>
    </row>
    <row r="529" spans="1:7" x14ac:dyDescent="0.3">
      <c r="A529" s="14" t="s">
        <v>519</v>
      </c>
      <c r="B529" s="4" t="s">
        <v>594</v>
      </c>
      <c r="C529" s="15">
        <v>45892</v>
      </c>
      <c r="D529" s="15">
        <f>WORKDAY(AR_age_category!$C529,$J$1)</f>
        <v>45933</v>
      </c>
      <c r="E529" s="16">
        <v>1095.1199999999999</v>
      </c>
      <c r="F529" s="21">
        <f ca="1">IF(AR_table[[#This Row],[due_date]]&gt;=TODAY(),0,NETWORKDAYS(AR_table[[#This Row],[due_date]],TODAY()))</f>
        <v>88</v>
      </c>
      <c r="G529" s="4" t="str">
        <f ca="1">VLOOKUP(AR_age_category!$F529,Table4[#All],2)</f>
        <v>61-90</v>
      </c>
    </row>
    <row r="530" spans="1:7" x14ac:dyDescent="0.3">
      <c r="A530" s="11" t="s">
        <v>520</v>
      </c>
      <c r="B530" s="2" t="s">
        <v>591</v>
      </c>
      <c r="C530" s="12">
        <v>45703</v>
      </c>
      <c r="D530" s="12">
        <f>WORKDAY(AR_age_category!$C530,$J$1)</f>
        <v>45744</v>
      </c>
      <c r="E530" s="13">
        <v>674.83</v>
      </c>
      <c r="F530" s="21">
        <f ca="1">IF(AR_table[[#This Row],[due_date]]&gt;=TODAY(),0,NETWORKDAYS(AR_table[[#This Row],[due_date]],TODAY()))</f>
        <v>223</v>
      </c>
      <c r="G530" s="2" t="str">
        <f ca="1">VLOOKUP(AR_age_category!$F530,Table4[#All],2)</f>
        <v>&gt;90</v>
      </c>
    </row>
    <row r="531" spans="1:7" x14ac:dyDescent="0.3">
      <c r="A531" s="14" t="s">
        <v>521</v>
      </c>
      <c r="B531" s="4" t="s">
        <v>594</v>
      </c>
      <c r="C531" s="15">
        <v>45945</v>
      </c>
      <c r="D531" s="15">
        <f>WORKDAY(AR_age_category!$C531,$J$1)</f>
        <v>45987</v>
      </c>
      <c r="E531" s="16">
        <v>631.80999999999995</v>
      </c>
      <c r="F531" s="21">
        <f ca="1">IF(AR_table[[#This Row],[due_date]]&gt;=TODAY(),0,NETWORKDAYS(AR_table[[#This Row],[due_date]],TODAY()))</f>
        <v>50</v>
      </c>
      <c r="G531" s="4" t="str">
        <f ca="1">VLOOKUP(AR_age_category!$F531,Table4[#All],2)</f>
        <v>31-60</v>
      </c>
    </row>
    <row r="532" spans="1:7" x14ac:dyDescent="0.3">
      <c r="A532" s="11" t="s">
        <v>522</v>
      </c>
      <c r="B532" s="2" t="s">
        <v>594</v>
      </c>
      <c r="C532" s="12">
        <v>45939</v>
      </c>
      <c r="D532" s="12">
        <f>WORKDAY(AR_age_category!$C532,$J$1)</f>
        <v>45981</v>
      </c>
      <c r="E532" s="13">
        <v>6298.56</v>
      </c>
      <c r="F532" s="21">
        <f ca="1">IF(AR_table[[#This Row],[due_date]]&gt;=TODAY(),0,NETWORKDAYS(AR_table[[#This Row],[due_date]],TODAY()))</f>
        <v>54</v>
      </c>
      <c r="G532" s="2" t="str">
        <f ca="1">VLOOKUP(AR_age_category!$F532,Table4[#All],2)</f>
        <v>31-60</v>
      </c>
    </row>
    <row r="533" spans="1:7" x14ac:dyDescent="0.3">
      <c r="A533" s="14" t="s">
        <v>523</v>
      </c>
      <c r="B533" s="4" t="s">
        <v>593</v>
      </c>
      <c r="C533" s="15">
        <v>45712</v>
      </c>
      <c r="D533" s="15">
        <f>WORKDAY(AR_age_category!$C533,$J$1)</f>
        <v>45754</v>
      </c>
      <c r="E533" s="16">
        <v>340.12</v>
      </c>
      <c r="F533" s="21">
        <f ca="1">IF(AR_table[[#This Row],[due_date]]&gt;=TODAY(),0,NETWORKDAYS(AR_table[[#This Row],[due_date]],TODAY()))</f>
        <v>217</v>
      </c>
      <c r="G533" s="4" t="str">
        <f ca="1">VLOOKUP(AR_age_category!$F533,Table4[#All],2)</f>
        <v>&gt;90</v>
      </c>
    </row>
    <row r="534" spans="1:7" x14ac:dyDescent="0.3">
      <c r="A534" s="11" t="s">
        <v>524</v>
      </c>
      <c r="B534" s="2" t="s">
        <v>592</v>
      </c>
      <c r="C534" s="12">
        <v>45724</v>
      </c>
      <c r="D534" s="12">
        <f>WORKDAY(AR_age_category!$C534,$J$1)</f>
        <v>45765</v>
      </c>
      <c r="E534" s="13">
        <v>3782.01</v>
      </c>
      <c r="F534" s="21">
        <f ca="1">IF(AR_table[[#This Row],[due_date]]&gt;=TODAY(),0,NETWORKDAYS(AR_table[[#This Row],[due_date]],TODAY()))</f>
        <v>208</v>
      </c>
      <c r="G534" s="2" t="str">
        <f ca="1">VLOOKUP(AR_age_category!$F534,Table4[#All],2)</f>
        <v>&gt;90</v>
      </c>
    </row>
    <row r="535" spans="1:7" x14ac:dyDescent="0.3">
      <c r="A535" s="14" t="s">
        <v>525</v>
      </c>
      <c r="B535" s="4" t="s">
        <v>593</v>
      </c>
      <c r="C535" s="15">
        <v>45752</v>
      </c>
      <c r="D535" s="15">
        <f>WORKDAY(AR_age_category!$C535,$J$1)</f>
        <v>45793</v>
      </c>
      <c r="E535" s="16">
        <v>2705.53</v>
      </c>
      <c r="F535" s="21">
        <f ca="1">IF(AR_table[[#This Row],[due_date]]&gt;=TODAY(),0,NETWORKDAYS(AR_table[[#This Row],[due_date]],TODAY()))</f>
        <v>188</v>
      </c>
      <c r="G535" s="4" t="str">
        <f ca="1">VLOOKUP(AR_age_category!$F535,Table4[#All],2)</f>
        <v>&gt;90</v>
      </c>
    </row>
    <row r="536" spans="1:7" x14ac:dyDescent="0.3">
      <c r="A536" s="14" t="s">
        <v>526</v>
      </c>
      <c r="B536" s="4" t="s">
        <v>593</v>
      </c>
      <c r="C536" s="15">
        <v>46119</v>
      </c>
      <c r="D536" s="15">
        <f>WORKDAY(AR_age_category!$C536,$J$1)</f>
        <v>46161</v>
      </c>
      <c r="E536" s="16">
        <v>1545.02</v>
      </c>
      <c r="F536" s="21">
        <f ca="1">IF(AR_table[[#This Row],[due_date]]&gt;=TODAY(),0,NETWORKDAYS(AR_table[[#This Row],[due_date]],TODAY()))</f>
        <v>0</v>
      </c>
      <c r="G536" s="4" t="str">
        <f ca="1">VLOOKUP(AR_age_category!$F536,Table4[#All],2)</f>
        <v>Not due</v>
      </c>
    </row>
    <row r="537" spans="1:7" x14ac:dyDescent="0.3">
      <c r="A537" s="11" t="s">
        <v>527</v>
      </c>
      <c r="B537" s="2" t="s">
        <v>593</v>
      </c>
      <c r="C537" s="12">
        <v>45943</v>
      </c>
      <c r="D537" s="12">
        <f>WORKDAY(AR_age_category!$C537,$J$1)</f>
        <v>45985</v>
      </c>
      <c r="E537" s="13">
        <v>2254.5500000000002</v>
      </c>
      <c r="F537" s="21">
        <f ca="1">IF(AR_table[[#This Row],[due_date]]&gt;=TODAY(),0,NETWORKDAYS(AR_table[[#This Row],[due_date]],TODAY()))</f>
        <v>52</v>
      </c>
      <c r="G537" s="2" t="str">
        <f ca="1">VLOOKUP(AR_age_category!$F537,Table4[#All],2)</f>
        <v>31-60</v>
      </c>
    </row>
    <row r="538" spans="1:7" x14ac:dyDescent="0.3">
      <c r="A538" s="14" t="s">
        <v>528</v>
      </c>
      <c r="B538" s="4" t="s">
        <v>593</v>
      </c>
      <c r="C538" s="15">
        <v>45872</v>
      </c>
      <c r="D538" s="15">
        <f>WORKDAY(AR_age_category!$C538,$J$1)</f>
        <v>45912</v>
      </c>
      <c r="E538" s="16">
        <v>4568.71</v>
      </c>
      <c r="F538" s="21">
        <f ca="1">IF(AR_table[[#This Row],[due_date]]&gt;=TODAY(),0,NETWORKDAYS(AR_table[[#This Row],[due_date]],TODAY()))</f>
        <v>103</v>
      </c>
      <c r="G538" s="4" t="str">
        <f ca="1">VLOOKUP(AR_age_category!$F538,Table4[#All],2)</f>
        <v>&gt;90</v>
      </c>
    </row>
    <row r="539" spans="1:7" x14ac:dyDescent="0.3">
      <c r="A539" s="11" t="s">
        <v>529</v>
      </c>
      <c r="B539" s="2" t="s">
        <v>593</v>
      </c>
      <c r="C539" s="12">
        <v>45716</v>
      </c>
      <c r="D539" s="12">
        <f>WORKDAY(AR_age_category!$C539,$J$1)</f>
        <v>45758</v>
      </c>
      <c r="E539" s="13">
        <v>6487.26</v>
      </c>
      <c r="F539" s="21">
        <f ca="1">IF(AR_table[[#This Row],[due_date]]&gt;=TODAY(),0,NETWORKDAYS(AR_table[[#This Row],[due_date]],TODAY()))</f>
        <v>213</v>
      </c>
      <c r="G539" s="2" t="str">
        <f ca="1">VLOOKUP(AR_age_category!$F539,Table4[#All],2)</f>
        <v>&gt;90</v>
      </c>
    </row>
    <row r="540" spans="1:7" x14ac:dyDescent="0.3">
      <c r="A540" s="14" t="s">
        <v>530</v>
      </c>
      <c r="B540" s="4" t="s">
        <v>592</v>
      </c>
      <c r="C540" s="15">
        <v>45957</v>
      </c>
      <c r="D540" s="15">
        <f>WORKDAY(AR_age_category!$C540,$J$1)</f>
        <v>45999</v>
      </c>
      <c r="E540" s="16">
        <v>4068.12</v>
      </c>
      <c r="F540" s="21">
        <f ca="1">IF(AR_table[[#This Row],[due_date]]&gt;=TODAY(),0,NETWORKDAYS(AR_table[[#This Row],[due_date]],TODAY()))</f>
        <v>42</v>
      </c>
      <c r="G540" s="4" t="str">
        <f ca="1">VLOOKUP(AR_age_category!$F540,Table4[#All],2)</f>
        <v>31-60</v>
      </c>
    </row>
    <row r="541" spans="1:7" x14ac:dyDescent="0.3">
      <c r="A541" s="11" t="s">
        <v>531</v>
      </c>
      <c r="B541" s="2" t="s">
        <v>595</v>
      </c>
      <c r="C541" s="12">
        <v>45996</v>
      </c>
      <c r="D541" s="12">
        <f>WORKDAY(AR_age_category!$C541,$J$1)</f>
        <v>46038</v>
      </c>
      <c r="E541" s="13">
        <v>6480.06</v>
      </c>
      <c r="F541" s="21">
        <f ca="1">IF(AR_table[[#This Row],[due_date]]&gt;=TODAY(),0,NETWORKDAYS(AR_table[[#This Row],[due_date]],TODAY()))</f>
        <v>13</v>
      </c>
      <c r="G541" s="2" t="str">
        <f ca="1">VLOOKUP(AR_age_category!$F541,Table4[#All],2)</f>
        <v>1-30</v>
      </c>
    </row>
    <row r="542" spans="1:7" x14ac:dyDescent="0.3">
      <c r="A542" s="14" t="s">
        <v>532</v>
      </c>
      <c r="B542" s="4" t="s">
        <v>591</v>
      </c>
      <c r="C542" s="15">
        <v>45882</v>
      </c>
      <c r="D542" s="15">
        <f>WORKDAY(AR_age_category!$C542,$J$1)</f>
        <v>45924</v>
      </c>
      <c r="E542" s="16">
        <v>3518.68</v>
      </c>
      <c r="F542" s="21">
        <f ca="1">IF(AR_table[[#This Row],[due_date]]&gt;=TODAY(),0,NETWORKDAYS(AR_table[[#This Row],[due_date]],TODAY()))</f>
        <v>95</v>
      </c>
      <c r="G542" s="4" t="str">
        <f ca="1">VLOOKUP(AR_age_category!$F542,Table4[#All],2)</f>
        <v>&gt;90</v>
      </c>
    </row>
    <row r="543" spans="1:7" x14ac:dyDescent="0.3">
      <c r="A543" s="11" t="s">
        <v>533</v>
      </c>
      <c r="B543" s="2" t="s">
        <v>591</v>
      </c>
      <c r="C543" s="12">
        <v>45670</v>
      </c>
      <c r="D543" s="12">
        <f>WORKDAY(AR_age_category!$C543,$J$1)</f>
        <v>45712</v>
      </c>
      <c r="E543" s="13">
        <v>4965.96</v>
      </c>
      <c r="F543" s="21">
        <f ca="1">IF(AR_table[[#This Row],[due_date]]&gt;=TODAY(),0,NETWORKDAYS(AR_table[[#This Row],[due_date]],TODAY()))</f>
        <v>247</v>
      </c>
      <c r="G543" s="2" t="str">
        <f ca="1">VLOOKUP(AR_age_category!$F543,Table4[#All],2)</f>
        <v>&gt;90</v>
      </c>
    </row>
    <row r="544" spans="1:7" x14ac:dyDescent="0.3">
      <c r="A544" s="14" t="s">
        <v>534</v>
      </c>
      <c r="B544" s="4" t="s">
        <v>592</v>
      </c>
      <c r="C544" s="15">
        <v>46022</v>
      </c>
      <c r="D544" s="15">
        <f>WORKDAY(AR_age_category!$C544,$J$1)</f>
        <v>46064</v>
      </c>
      <c r="E544" s="16">
        <v>4868.8900000000003</v>
      </c>
      <c r="F544" s="21">
        <f ca="1">IF(AR_table[[#This Row],[due_date]]&gt;=TODAY(),0,NETWORKDAYS(AR_table[[#This Row],[due_date]],TODAY()))</f>
        <v>0</v>
      </c>
      <c r="G544" s="4" t="str">
        <f ca="1">VLOOKUP(AR_age_category!$F544,Table4[#All],2)</f>
        <v>Not due</v>
      </c>
    </row>
    <row r="545" spans="1:7" x14ac:dyDescent="0.3">
      <c r="A545" s="11" t="s">
        <v>535</v>
      </c>
      <c r="B545" s="2" t="s">
        <v>593</v>
      </c>
      <c r="C545" s="12">
        <v>46179</v>
      </c>
      <c r="D545" s="12">
        <f>WORKDAY(AR_age_category!$C545,$J$1)</f>
        <v>46220</v>
      </c>
      <c r="E545" s="13">
        <v>5185.96</v>
      </c>
      <c r="F545" s="21">
        <f ca="1">IF(AR_table[[#This Row],[due_date]]&gt;=TODAY(),0,NETWORKDAYS(AR_table[[#This Row],[due_date]],TODAY()))</f>
        <v>0</v>
      </c>
      <c r="G545" s="2" t="str">
        <f ca="1">VLOOKUP(AR_age_category!$F545,Table4[#All],2)</f>
        <v>Not due</v>
      </c>
    </row>
    <row r="546" spans="1:7" x14ac:dyDescent="0.3">
      <c r="A546" s="14" t="s">
        <v>536</v>
      </c>
      <c r="B546" s="4" t="s">
        <v>592</v>
      </c>
      <c r="C546" s="15">
        <v>45668</v>
      </c>
      <c r="D546" s="15">
        <f>WORKDAY(AR_age_category!$C546,$J$1)</f>
        <v>45709</v>
      </c>
      <c r="E546" s="16">
        <v>4303.5600000000004</v>
      </c>
      <c r="F546" s="21">
        <f ca="1">IF(AR_table[[#This Row],[due_date]]&gt;=TODAY(),0,NETWORKDAYS(AR_table[[#This Row],[due_date]],TODAY()))</f>
        <v>248</v>
      </c>
      <c r="G546" s="4" t="str">
        <f ca="1">VLOOKUP(AR_age_category!$F546,Table4[#All],2)</f>
        <v>&gt;90</v>
      </c>
    </row>
    <row r="547" spans="1:7" x14ac:dyDescent="0.3">
      <c r="A547" s="11" t="s">
        <v>537</v>
      </c>
      <c r="B547" s="2" t="s">
        <v>591</v>
      </c>
      <c r="C547" s="12">
        <v>45839</v>
      </c>
      <c r="D547" s="12">
        <f>WORKDAY(AR_age_category!$C547,$J$1)</f>
        <v>45881</v>
      </c>
      <c r="E547" s="13">
        <v>6011.5</v>
      </c>
      <c r="F547" s="21">
        <f ca="1">IF(AR_table[[#This Row],[due_date]]&gt;=TODAY(),0,NETWORKDAYS(AR_table[[#This Row],[due_date]],TODAY()))</f>
        <v>126</v>
      </c>
      <c r="G547" s="2" t="str">
        <f ca="1">VLOOKUP(AR_age_category!$F547,Table4[#All],2)</f>
        <v>&gt;90</v>
      </c>
    </row>
    <row r="548" spans="1:7" x14ac:dyDescent="0.3">
      <c r="A548" s="14" t="s">
        <v>538</v>
      </c>
      <c r="B548" s="4" t="s">
        <v>594</v>
      </c>
      <c r="C548" s="15">
        <v>46037</v>
      </c>
      <c r="D548" s="15">
        <f>WORKDAY(AR_age_category!$C548,$J$1)</f>
        <v>46079</v>
      </c>
      <c r="E548" s="16">
        <v>3111.71</v>
      </c>
      <c r="F548" s="21">
        <f ca="1">IF(AR_table[[#This Row],[due_date]]&gt;=TODAY(),0,NETWORKDAYS(AR_table[[#This Row],[due_date]],TODAY()))</f>
        <v>0</v>
      </c>
      <c r="G548" s="4" t="str">
        <f ca="1">VLOOKUP(AR_age_category!$F548,Table4[#All],2)</f>
        <v>Not due</v>
      </c>
    </row>
    <row r="549" spans="1:7" x14ac:dyDescent="0.3">
      <c r="A549" s="11" t="s">
        <v>539</v>
      </c>
      <c r="B549" s="2" t="s">
        <v>595</v>
      </c>
      <c r="C549" s="12">
        <v>45983</v>
      </c>
      <c r="D549" s="12">
        <f>WORKDAY(AR_age_category!$C549,$J$1)</f>
        <v>46024</v>
      </c>
      <c r="E549" s="13">
        <v>7891.74</v>
      </c>
      <c r="F549" s="21">
        <f ca="1">IF(AR_table[[#This Row],[due_date]]&gt;=TODAY(),0,NETWORKDAYS(AR_table[[#This Row],[due_date]],TODAY()))</f>
        <v>23</v>
      </c>
      <c r="G549" s="2" t="str">
        <f ca="1">VLOOKUP(AR_age_category!$F549,Table4[#All],2)</f>
        <v>1-30</v>
      </c>
    </row>
    <row r="550" spans="1:7" x14ac:dyDescent="0.3">
      <c r="A550" s="14" t="s">
        <v>540</v>
      </c>
      <c r="B550" s="4" t="s">
        <v>593</v>
      </c>
      <c r="C550" s="15">
        <v>46016</v>
      </c>
      <c r="D550" s="15">
        <f>WORKDAY(AR_age_category!$C550,$J$1)</f>
        <v>46058</v>
      </c>
      <c r="E550" s="16">
        <v>4155.67</v>
      </c>
      <c r="F550" s="21">
        <f ca="1">IF(AR_table[[#This Row],[due_date]]&gt;=TODAY(),0,NETWORKDAYS(AR_table[[#This Row],[due_date]],TODAY()))</f>
        <v>0</v>
      </c>
      <c r="G550" s="4" t="str">
        <f ca="1">VLOOKUP(AR_age_category!$F550,Table4[#All],2)</f>
        <v>Not due</v>
      </c>
    </row>
    <row r="551" spans="1:7" x14ac:dyDescent="0.3">
      <c r="A551" s="11" t="s">
        <v>541</v>
      </c>
      <c r="B551" s="2" t="s">
        <v>594</v>
      </c>
      <c r="C551" s="12">
        <v>45889</v>
      </c>
      <c r="D551" s="12">
        <f>WORKDAY(AR_age_category!$C551,$J$1)</f>
        <v>45931</v>
      </c>
      <c r="E551" s="13">
        <v>3416.11</v>
      </c>
      <c r="F551" s="21">
        <f ca="1">IF(AR_table[[#This Row],[due_date]]&gt;=TODAY(),0,NETWORKDAYS(AR_table[[#This Row],[due_date]],TODAY()))</f>
        <v>90</v>
      </c>
      <c r="G551" s="2" t="str">
        <f ca="1">VLOOKUP(AR_age_category!$F551,Table4[#All],2)</f>
        <v>61-90</v>
      </c>
    </row>
    <row r="552" spans="1:7" x14ac:dyDescent="0.3">
      <c r="A552" s="14" t="s">
        <v>542</v>
      </c>
      <c r="B552" s="4" t="s">
        <v>595</v>
      </c>
      <c r="C552" s="15">
        <v>46133</v>
      </c>
      <c r="D552" s="15">
        <f>WORKDAY(AR_age_category!$C552,$J$1)</f>
        <v>46175</v>
      </c>
      <c r="E552" s="16">
        <v>3101.41</v>
      </c>
      <c r="F552" s="21">
        <f ca="1">IF(AR_table[[#This Row],[due_date]]&gt;=TODAY(),0,NETWORKDAYS(AR_table[[#This Row],[due_date]],TODAY()))</f>
        <v>0</v>
      </c>
      <c r="G552" s="4" t="str">
        <f ca="1">VLOOKUP(AR_age_category!$F552,Table4[#All],2)</f>
        <v>Not due</v>
      </c>
    </row>
    <row r="553" spans="1:7" x14ac:dyDescent="0.3">
      <c r="A553" s="11" t="s">
        <v>543</v>
      </c>
      <c r="B553" s="2" t="s">
        <v>593</v>
      </c>
      <c r="C553" s="12">
        <v>46193</v>
      </c>
      <c r="D553" s="12">
        <f>WORKDAY(AR_age_category!$C553,$J$1)</f>
        <v>46234</v>
      </c>
      <c r="E553" s="13">
        <v>4340.3100000000004</v>
      </c>
      <c r="F553" s="21">
        <f ca="1">IF(AR_table[[#This Row],[due_date]]&gt;=TODAY(),0,NETWORKDAYS(AR_table[[#This Row],[due_date]],TODAY()))</f>
        <v>0</v>
      </c>
      <c r="G553" s="2" t="str">
        <f ca="1">VLOOKUP(AR_age_category!$F553,Table4[#All],2)</f>
        <v>Not due</v>
      </c>
    </row>
    <row r="554" spans="1:7" x14ac:dyDescent="0.3">
      <c r="A554" s="11" t="s">
        <v>544</v>
      </c>
      <c r="B554" s="2" t="s">
        <v>591</v>
      </c>
      <c r="C554" s="12">
        <v>46201</v>
      </c>
      <c r="D554" s="12">
        <f>WORKDAY(AR_age_category!$C554,$J$1)</f>
        <v>46241</v>
      </c>
      <c r="E554" s="13">
        <v>6109.5</v>
      </c>
      <c r="F554" s="21">
        <f ca="1">IF(AR_table[[#This Row],[due_date]]&gt;=TODAY(),0,NETWORKDAYS(AR_table[[#This Row],[due_date]],TODAY()))</f>
        <v>0</v>
      </c>
      <c r="G554" s="2" t="str">
        <f ca="1">VLOOKUP(AR_age_category!$F554,Table4[#All],2)</f>
        <v>Not due</v>
      </c>
    </row>
    <row r="555" spans="1:7" x14ac:dyDescent="0.3">
      <c r="A555" s="14" t="s">
        <v>545</v>
      </c>
      <c r="B555" s="4" t="s">
        <v>595</v>
      </c>
      <c r="C555" s="15">
        <v>46027</v>
      </c>
      <c r="D555" s="15">
        <f>WORKDAY(AR_age_category!$C555,$J$1)</f>
        <v>46069</v>
      </c>
      <c r="E555" s="16">
        <v>5463.95</v>
      </c>
      <c r="F555" s="21">
        <f ca="1">IF(AR_table[[#This Row],[due_date]]&gt;=TODAY(),0,NETWORKDAYS(AR_table[[#This Row],[due_date]],TODAY()))</f>
        <v>0</v>
      </c>
      <c r="G555" s="4" t="str">
        <f ca="1">VLOOKUP(AR_age_category!$F555,Table4[#All],2)</f>
        <v>Not due</v>
      </c>
    </row>
    <row r="556" spans="1:7" x14ac:dyDescent="0.3">
      <c r="A556" s="14" t="s">
        <v>546</v>
      </c>
      <c r="B556" s="4" t="s">
        <v>595</v>
      </c>
      <c r="C556" s="15">
        <v>45725</v>
      </c>
      <c r="D556" s="15">
        <f>WORKDAY(AR_age_category!$C556,$J$1)</f>
        <v>45765</v>
      </c>
      <c r="E556" s="16">
        <v>5529.68</v>
      </c>
      <c r="F556" s="21">
        <f ca="1">IF(AR_table[[#This Row],[due_date]]&gt;=TODAY(),0,NETWORKDAYS(AR_table[[#This Row],[due_date]],TODAY()))</f>
        <v>208</v>
      </c>
      <c r="G556" s="4" t="str">
        <f ca="1">VLOOKUP(AR_age_category!$F556,Table4[#All],2)</f>
        <v>&gt;90</v>
      </c>
    </row>
    <row r="557" spans="1:7" x14ac:dyDescent="0.3">
      <c r="A557" s="11" t="s">
        <v>547</v>
      </c>
      <c r="B557" s="2" t="s">
        <v>593</v>
      </c>
      <c r="C557" s="12">
        <v>45666</v>
      </c>
      <c r="D557" s="12">
        <f>WORKDAY(AR_age_category!$C557,$J$1)</f>
        <v>45708</v>
      </c>
      <c r="E557" s="13">
        <v>1546.25</v>
      </c>
      <c r="F557" s="21">
        <f ca="1">IF(AR_table[[#This Row],[due_date]]&gt;=TODAY(),0,NETWORKDAYS(AR_table[[#This Row],[due_date]],TODAY()))</f>
        <v>249</v>
      </c>
      <c r="G557" s="2" t="str">
        <f ca="1">VLOOKUP(AR_age_category!$F557,Table4[#All],2)</f>
        <v>&gt;90</v>
      </c>
    </row>
    <row r="558" spans="1:7" x14ac:dyDescent="0.3">
      <c r="A558" s="14" t="s">
        <v>548</v>
      </c>
      <c r="B558" s="4" t="s">
        <v>594</v>
      </c>
      <c r="C558" s="15">
        <v>46140</v>
      </c>
      <c r="D558" s="15">
        <f>WORKDAY(AR_age_category!$C558,$J$1)</f>
        <v>46182</v>
      </c>
      <c r="E558" s="16">
        <v>6604.35</v>
      </c>
      <c r="F558" s="21">
        <f ca="1">IF(AR_table[[#This Row],[due_date]]&gt;=TODAY(),0,NETWORKDAYS(AR_table[[#This Row],[due_date]],TODAY()))</f>
        <v>0</v>
      </c>
      <c r="G558" s="4" t="str">
        <f ca="1">VLOOKUP(AR_age_category!$F558,Table4[#All],2)</f>
        <v>Not due</v>
      </c>
    </row>
    <row r="559" spans="1:7" x14ac:dyDescent="0.3">
      <c r="A559" s="11" t="s">
        <v>549</v>
      </c>
      <c r="B559" s="2" t="s">
        <v>595</v>
      </c>
      <c r="C559" s="12">
        <v>45681</v>
      </c>
      <c r="D559" s="12">
        <f>WORKDAY(AR_age_category!$C559,$J$1)</f>
        <v>45723</v>
      </c>
      <c r="E559" s="13">
        <v>2420.27</v>
      </c>
      <c r="F559" s="21">
        <f ca="1">IF(AR_table[[#This Row],[due_date]]&gt;=TODAY(),0,NETWORKDAYS(AR_table[[#This Row],[due_date]],TODAY()))</f>
        <v>238</v>
      </c>
      <c r="G559" s="2" t="str">
        <f ca="1">VLOOKUP(AR_age_category!$F559,Table4[#All],2)</f>
        <v>&gt;90</v>
      </c>
    </row>
    <row r="560" spans="1:7" x14ac:dyDescent="0.3">
      <c r="A560" s="14" t="s">
        <v>550</v>
      </c>
      <c r="B560" s="4" t="s">
        <v>593</v>
      </c>
      <c r="C560" s="15">
        <v>45954</v>
      </c>
      <c r="D560" s="15">
        <f>WORKDAY(AR_age_category!$C560,$J$1)</f>
        <v>45996</v>
      </c>
      <c r="E560" s="16">
        <v>4890.76</v>
      </c>
      <c r="F560" s="21">
        <f ca="1">IF(AR_table[[#This Row],[due_date]]&gt;=TODAY(),0,NETWORKDAYS(AR_table[[#This Row],[due_date]],TODAY()))</f>
        <v>43</v>
      </c>
      <c r="G560" s="4" t="str">
        <f ca="1">VLOOKUP(AR_age_category!$F560,Table4[#All],2)</f>
        <v>31-60</v>
      </c>
    </row>
    <row r="561" spans="1:7" x14ac:dyDescent="0.3">
      <c r="A561" s="11" t="s">
        <v>551</v>
      </c>
      <c r="B561" s="2" t="s">
        <v>591</v>
      </c>
      <c r="C561" s="12">
        <v>45695</v>
      </c>
      <c r="D561" s="12">
        <f>WORKDAY(AR_age_category!$C561,$J$1)</f>
        <v>45737</v>
      </c>
      <c r="E561" s="13">
        <v>5733.98</v>
      </c>
      <c r="F561" s="21">
        <f ca="1">IF(AR_table[[#This Row],[due_date]]&gt;=TODAY(),0,NETWORKDAYS(AR_table[[#This Row],[due_date]],TODAY()))</f>
        <v>228</v>
      </c>
      <c r="G561" s="2" t="str">
        <f ca="1">VLOOKUP(AR_age_category!$F561,Table4[#All],2)</f>
        <v>&gt;90</v>
      </c>
    </row>
    <row r="562" spans="1:7" x14ac:dyDescent="0.3">
      <c r="A562" s="14" t="s">
        <v>552</v>
      </c>
      <c r="B562" s="4" t="s">
        <v>592</v>
      </c>
      <c r="C562" s="15">
        <v>46080</v>
      </c>
      <c r="D562" s="15">
        <f>WORKDAY(AR_age_category!$C562,$J$1)</f>
        <v>46122</v>
      </c>
      <c r="E562" s="16">
        <v>6136.41</v>
      </c>
      <c r="F562" s="21">
        <f ca="1">IF(AR_table[[#This Row],[due_date]]&gt;=TODAY(),0,NETWORKDAYS(AR_table[[#This Row],[due_date]],TODAY()))</f>
        <v>0</v>
      </c>
      <c r="G562" s="4" t="str">
        <f ca="1">VLOOKUP(AR_age_category!$F562,Table4[#All],2)</f>
        <v>Not due</v>
      </c>
    </row>
    <row r="563" spans="1:7" x14ac:dyDescent="0.3">
      <c r="A563" s="11" t="s">
        <v>553</v>
      </c>
      <c r="B563" s="2" t="s">
        <v>592</v>
      </c>
      <c r="C563" s="12">
        <v>45680</v>
      </c>
      <c r="D563" s="12">
        <f>WORKDAY(AR_age_category!$C563,$J$1)</f>
        <v>45722</v>
      </c>
      <c r="E563" s="13">
        <v>679.54</v>
      </c>
      <c r="F563" s="21">
        <f ca="1">IF(AR_table[[#This Row],[due_date]]&gt;=TODAY(),0,NETWORKDAYS(AR_table[[#This Row],[due_date]],TODAY()))</f>
        <v>239</v>
      </c>
      <c r="G563" s="2" t="str">
        <f ca="1">VLOOKUP(AR_age_category!$F563,Table4[#All],2)</f>
        <v>&gt;90</v>
      </c>
    </row>
    <row r="564" spans="1:7" x14ac:dyDescent="0.3">
      <c r="A564" s="14" t="s">
        <v>554</v>
      </c>
      <c r="B564" s="4" t="s">
        <v>593</v>
      </c>
      <c r="C564" s="15">
        <v>45697</v>
      </c>
      <c r="D564" s="15">
        <f>WORKDAY(AR_age_category!$C564,$J$1)</f>
        <v>45737</v>
      </c>
      <c r="E564" s="16">
        <v>6397.31</v>
      </c>
      <c r="F564" s="21">
        <f ca="1">IF(AR_table[[#This Row],[due_date]]&gt;=TODAY(),0,NETWORKDAYS(AR_table[[#This Row],[due_date]],TODAY()))</f>
        <v>228</v>
      </c>
      <c r="G564" s="4" t="str">
        <f ca="1">VLOOKUP(AR_age_category!$F564,Table4[#All],2)</f>
        <v>&gt;90</v>
      </c>
    </row>
    <row r="565" spans="1:7" x14ac:dyDescent="0.3">
      <c r="A565" s="11" t="s">
        <v>555</v>
      </c>
      <c r="B565" s="2" t="s">
        <v>592</v>
      </c>
      <c r="C565" s="12">
        <v>45953</v>
      </c>
      <c r="D565" s="12">
        <f>WORKDAY(AR_age_category!$C565,$J$1)</f>
        <v>45995</v>
      </c>
      <c r="E565" s="13">
        <v>4671.99</v>
      </c>
      <c r="F565" s="21">
        <f ca="1">IF(AR_table[[#This Row],[due_date]]&gt;=TODAY(),0,NETWORKDAYS(AR_table[[#This Row],[due_date]],TODAY()))</f>
        <v>44</v>
      </c>
      <c r="G565" s="2" t="str">
        <f ca="1">VLOOKUP(AR_age_category!$F565,Table4[#All],2)</f>
        <v>31-60</v>
      </c>
    </row>
    <row r="566" spans="1:7" x14ac:dyDescent="0.3">
      <c r="A566" s="14" t="s">
        <v>556</v>
      </c>
      <c r="B566" s="4" t="s">
        <v>591</v>
      </c>
      <c r="C566" s="15">
        <v>45671</v>
      </c>
      <c r="D566" s="15">
        <f>WORKDAY(AR_age_category!$C566,$J$1)</f>
        <v>45713</v>
      </c>
      <c r="E566" s="16">
        <v>4213.26</v>
      </c>
      <c r="F566" s="21">
        <f ca="1">IF(AR_table[[#This Row],[due_date]]&gt;=TODAY(),0,NETWORKDAYS(AR_table[[#This Row],[due_date]],TODAY()))</f>
        <v>246</v>
      </c>
      <c r="G566" s="4" t="str">
        <f ca="1">VLOOKUP(AR_age_category!$F566,Table4[#All],2)</f>
        <v>&gt;90</v>
      </c>
    </row>
    <row r="567" spans="1:7" x14ac:dyDescent="0.3">
      <c r="A567" s="11" t="s">
        <v>557</v>
      </c>
      <c r="B567" s="2" t="s">
        <v>595</v>
      </c>
      <c r="C567" s="12">
        <v>45778</v>
      </c>
      <c r="D567" s="12">
        <f>WORKDAY(AR_age_category!$C567,$J$1)</f>
        <v>45820</v>
      </c>
      <c r="E567" s="13">
        <v>7245.84</v>
      </c>
      <c r="F567" s="21">
        <f ca="1">IF(AR_table[[#This Row],[due_date]]&gt;=TODAY(),0,NETWORKDAYS(AR_table[[#This Row],[due_date]],TODAY()))</f>
        <v>169</v>
      </c>
      <c r="G567" s="2" t="str">
        <f ca="1">VLOOKUP(AR_age_category!$F567,Table4[#All],2)</f>
        <v>&gt;90</v>
      </c>
    </row>
    <row r="568" spans="1:7" x14ac:dyDescent="0.3">
      <c r="A568" s="14" t="s">
        <v>558</v>
      </c>
      <c r="B568" s="4" t="s">
        <v>591</v>
      </c>
      <c r="C568" s="15">
        <v>45886</v>
      </c>
      <c r="D568" s="15">
        <f>WORKDAY(AR_age_category!$C568,$J$1)</f>
        <v>45926</v>
      </c>
      <c r="E568" s="16">
        <v>3490.61</v>
      </c>
      <c r="F568" s="21">
        <f ca="1">IF(AR_table[[#This Row],[due_date]]&gt;=TODAY(),0,NETWORKDAYS(AR_table[[#This Row],[due_date]],TODAY()))</f>
        <v>93</v>
      </c>
      <c r="G568" s="4" t="str">
        <f ca="1">VLOOKUP(AR_age_category!$F568,Table4[#All],2)</f>
        <v>&gt;90</v>
      </c>
    </row>
    <row r="569" spans="1:7" x14ac:dyDescent="0.3">
      <c r="A569" s="11" t="s">
        <v>559</v>
      </c>
      <c r="B569" s="2" t="s">
        <v>593</v>
      </c>
      <c r="C569" s="12">
        <v>45987</v>
      </c>
      <c r="D569" s="12">
        <f>WORKDAY(AR_age_category!$C569,$J$1)</f>
        <v>46029</v>
      </c>
      <c r="E569" s="13">
        <v>4514.91</v>
      </c>
      <c r="F569" s="21">
        <f ca="1">IF(AR_table[[#This Row],[due_date]]&gt;=TODAY(),0,NETWORKDAYS(AR_table[[#This Row],[due_date]],TODAY()))</f>
        <v>20</v>
      </c>
      <c r="G569" s="2" t="str">
        <f ca="1">VLOOKUP(AR_age_category!$F569,Table4[#All],2)</f>
        <v>1-30</v>
      </c>
    </row>
    <row r="570" spans="1:7" x14ac:dyDescent="0.3">
      <c r="A570" s="11" t="s">
        <v>560</v>
      </c>
      <c r="B570" s="2" t="s">
        <v>591</v>
      </c>
      <c r="C570" s="12">
        <v>45666</v>
      </c>
      <c r="D570" s="12">
        <f>WORKDAY(AR_age_category!$C570,$J$1)</f>
        <v>45708</v>
      </c>
      <c r="E570" s="13">
        <v>860.68</v>
      </c>
      <c r="F570" s="21">
        <f ca="1">IF(AR_table[[#This Row],[due_date]]&gt;=TODAY(),0,NETWORKDAYS(AR_table[[#This Row],[due_date]],TODAY()))</f>
        <v>249</v>
      </c>
      <c r="G570" s="2" t="str">
        <f ca="1">VLOOKUP(AR_age_category!$F570,Table4[#All],2)</f>
        <v>&gt;90</v>
      </c>
    </row>
    <row r="571" spans="1:7" x14ac:dyDescent="0.3">
      <c r="A571" s="14" t="s">
        <v>561</v>
      </c>
      <c r="B571" s="4" t="s">
        <v>595</v>
      </c>
      <c r="C571" s="15">
        <v>46159</v>
      </c>
      <c r="D571" s="15">
        <f>WORKDAY(AR_age_category!$C571,$J$1)</f>
        <v>46199</v>
      </c>
      <c r="E571" s="16">
        <v>3179.28</v>
      </c>
      <c r="F571" s="21">
        <f ca="1">IF(AR_table[[#This Row],[due_date]]&gt;=TODAY(),0,NETWORKDAYS(AR_table[[#This Row],[due_date]],TODAY()))</f>
        <v>0</v>
      </c>
      <c r="G571" s="4" t="str">
        <f ca="1">VLOOKUP(AR_age_category!$F571,Table4[#All],2)</f>
        <v>Not due</v>
      </c>
    </row>
    <row r="572" spans="1:7" x14ac:dyDescent="0.3">
      <c r="A572" s="14" t="s">
        <v>562</v>
      </c>
      <c r="B572" s="4" t="s">
        <v>594</v>
      </c>
      <c r="C572" s="15">
        <v>45989</v>
      </c>
      <c r="D572" s="15">
        <f>WORKDAY(AR_age_category!$C572,$J$1)</f>
        <v>46031</v>
      </c>
      <c r="E572" s="16">
        <v>267.24</v>
      </c>
      <c r="F572" s="21">
        <f ca="1">IF(AR_table[[#This Row],[due_date]]&gt;=TODAY(),0,NETWORKDAYS(AR_table[[#This Row],[due_date]],TODAY()))</f>
        <v>18</v>
      </c>
      <c r="G572" s="4" t="str">
        <f ca="1">VLOOKUP(AR_age_category!$F572,Table4[#All],2)</f>
        <v>1-30</v>
      </c>
    </row>
    <row r="573" spans="1:7" x14ac:dyDescent="0.3">
      <c r="A573" s="14" t="s">
        <v>563</v>
      </c>
      <c r="B573" s="4" t="s">
        <v>595</v>
      </c>
      <c r="C573" s="15">
        <v>45899</v>
      </c>
      <c r="D573" s="15">
        <f>WORKDAY(AR_age_category!$C573,$J$1)</f>
        <v>45940</v>
      </c>
      <c r="E573" s="16">
        <v>5155.55</v>
      </c>
      <c r="F573" s="21">
        <f ca="1">IF(AR_table[[#This Row],[due_date]]&gt;=TODAY(),0,NETWORKDAYS(AR_table[[#This Row],[due_date]],TODAY()))</f>
        <v>83</v>
      </c>
      <c r="G573" s="4" t="str">
        <f ca="1">VLOOKUP(AR_age_category!$F573,Table4[#All],2)</f>
        <v>61-90</v>
      </c>
    </row>
    <row r="574" spans="1:7" x14ac:dyDescent="0.3">
      <c r="A574" s="11" t="s">
        <v>564</v>
      </c>
      <c r="B574" s="2" t="s">
        <v>593</v>
      </c>
      <c r="C574" s="12">
        <v>45975</v>
      </c>
      <c r="D574" s="12">
        <f>WORKDAY(AR_age_category!$C574,$J$1)</f>
        <v>46017</v>
      </c>
      <c r="E574" s="13">
        <v>5605.91</v>
      </c>
      <c r="F574" s="21">
        <f ca="1">IF(AR_table[[#This Row],[due_date]]&gt;=TODAY(),0,NETWORKDAYS(AR_table[[#This Row],[due_date]],TODAY()))</f>
        <v>28</v>
      </c>
      <c r="G574" s="2" t="str">
        <f ca="1">VLOOKUP(AR_age_category!$F574,Table4[#All],2)</f>
        <v>1-30</v>
      </c>
    </row>
    <row r="575" spans="1:7" x14ac:dyDescent="0.3">
      <c r="A575" s="14" t="s">
        <v>565</v>
      </c>
      <c r="B575" s="4" t="s">
        <v>591</v>
      </c>
      <c r="C575" s="15">
        <v>46059</v>
      </c>
      <c r="D575" s="15">
        <f>WORKDAY(AR_age_category!$C575,$J$1)</f>
        <v>46101</v>
      </c>
      <c r="E575" s="16">
        <v>6041.09</v>
      </c>
      <c r="F575" s="21">
        <f ca="1">IF(AR_table[[#This Row],[due_date]]&gt;=TODAY(),0,NETWORKDAYS(AR_table[[#This Row],[due_date]],TODAY()))</f>
        <v>0</v>
      </c>
      <c r="G575" s="4" t="str">
        <f ca="1">VLOOKUP(AR_age_category!$F575,Table4[#All],2)</f>
        <v>Not due</v>
      </c>
    </row>
    <row r="576" spans="1:7" x14ac:dyDescent="0.3">
      <c r="A576" s="11" t="s">
        <v>566</v>
      </c>
      <c r="B576" s="2" t="s">
        <v>593</v>
      </c>
      <c r="C576" s="12">
        <v>45683</v>
      </c>
      <c r="D576" s="12">
        <f>WORKDAY(AR_age_category!$C576,$J$1)</f>
        <v>45723</v>
      </c>
      <c r="E576" s="13">
        <v>4640.58</v>
      </c>
      <c r="F576" s="21">
        <f ca="1">IF(AR_table[[#This Row],[due_date]]&gt;=TODAY(),0,NETWORKDAYS(AR_table[[#This Row],[due_date]],TODAY()))</f>
        <v>238</v>
      </c>
      <c r="G576" s="2" t="str">
        <f ca="1">VLOOKUP(AR_age_category!$F576,Table4[#All],2)</f>
        <v>&gt;90</v>
      </c>
    </row>
    <row r="577" spans="1:7" x14ac:dyDescent="0.3">
      <c r="A577" s="14" t="s">
        <v>567</v>
      </c>
      <c r="B577" s="4" t="s">
        <v>595</v>
      </c>
      <c r="C577" s="15">
        <v>45703</v>
      </c>
      <c r="D577" s="15">
        <f>WORKDAY(AR_age_category!$C577,$J$1)</f>
        <v>45744</v>
      </c>
      <c r="E577" s="16">
        <v>733.3</v>
      </c>
      <c r="F577" s="21">
        <f ca="1">IF(AR_table[[#This Row],[due_date]]&gt;=TODAY(),0,NETWORKDAYS(AR_table[[#This Row],[due_date]],TODAY()))</f>
        <v>223</v>
      </c>
      <c r="G577" s="4" t="str">
        <f ca="1">VLOOKUP(AR_age_category!$F577,Table4[#All],2)</f>
        <v>&gt;90</v>
      </c>
    </row>
    <row r="578" spans="1:7" x14ac:dyDescent="0.3">
      <c r="A578" s="11" t="s">
        <v>568</v>
      </c>
      <c r="B578" s="2" t="s">
        <v>593</v>
      </c>
      <c r="C578" s="12">
        <v>45855</v>
      </c>
      <c r="D578" s="12">
        <f>WORKDAY(AR_age_category!$C578,$J$1)</f>
        <v>45897</v>
      </c>
      <c r="E578" s="13">
        <v>3219.89</v>
      </c>
      <c r="F578" s="21">
        <f ca="1">IF(AR_table[[#This Row],[due_date]]&gt;=TODAY(),0,NETWORKDAYS(AR_table[[#This Row],[due_date]],TODAY()))</f>
        <v>114</v>
      </c>
      <c r="G578" s="2" t="str">
        <f ca="1">VLOOKUP(AR_age_category!$F578,Table4[#All],2)</f>
        <v>&gt;90</v>
      </c>
    </row>
    <row r="579" spans="1:7" x14ac:dyDescent="0.3">
      <c r="A579" s="14" t="s">
        <v>569</v>
      </c>
      <c r="B579" s="4" t="s">
        <v>595</v>
      </c>
      <c r="C579" s="15">
        <v>45899</v>
      </c>
      <c r="D579" s="15">
        <f>WORKDAY(AR_age_category!$C579,$J$1)</f>
        <v>45940</v>
      </c>
      <c r="E579" s="16">
        <v>2856.82</v>
      </c>
      <c r="F579" s="21">
        <f ca="1">IF(AR_table[[#This Row],[due_date]]&gt;=TODAY(),0,NETWORKDAYS(AR_table[[#This Row],[due_date]],TODAY()))</f>
        <v>83</v>
      </c>
      <c r="G579" s="4" t="str">
        <f ca="1">VLOOKUP(AR_age_category!$F579,Table4[#All],2)</f>
        <v>61-90</v>
      </c>
    </row>
    <row r="580" spans="1:7" x14ac:dyDescent="0.3">
      <c r="A580" s="11" t="s">
        <v>570</v>
      </c>
      <c r="B580" s="2" t="s">
        <v>592</v>
      </c>
      <c r="C580" s="12">
        <v>45929</v>
      </c>
      <c r="D580" s="12">
        <f>WORKDAY(AR_age_category!$C580,$J$1)</f>
        <v>45971</v>
      </c>
      <c r="E580" s="13">
        <v>4095.19</v>
      </c>
      <c r="F580" s="21">
        <f ca="1">IF(AR_table[[#This Row],[due_date]]&gt;=TODAY(),0,NETWORKDAYS(AR_table[[#This Row],[due_date]],TODAY()))</f>
        <v>62</v>
      </c>
      <c r="G580" s="2" t="str">
        <f ca="1">VLOOKUP(AR_age_category!$F580,Table4[#All],2)</f>
        <v>61-90</v>
      </c>
    </row>
    <row r="581" spans="1:7" x14ac:dyDescent="0.3">
      <c r="A581" s="14" t="s">
        <v>571</v>
      </c>
      <c r="B581" s="4" t="s">
        <v>595</v>
      </c>
      <c r="C581" s="15">
        <v>45955</v>
      </c>
      <c r="D581" s="15">
        <f>WORKDAY(AR_age_category!$C581,$J$1)</f>
        <v>45996</v>
      </c>
      <c r="E581" s="16">
        <v>7507.98</v>
      </c>
      <c r="F581" s="21">
        <f ca="1">IF(AR_table[[#This Row],[due_date]]&gt;=TODAY(),0,NETWORKDAYS(AR_table[[#This Row],[due_date]],TODAY()))</f>
        <v>43</v>
      </c>
      <c r="G581" s="4" t="str">
        <f ca="1">VLOOKUP(AR_age_category!$F581,Table4[#All],2)</f>
        <v>31-60</v>
      </c>
    </row>
    <row r="582" spans="1:7" x14ac:dyDescent="0.3">
      <c r="A582" s="11" t="s">
        <v>572</v>
      </c>
      <c r="B582" s="2" t="s">
        <v>594</v>
      </c>
      <c r="C582" s="12">
        <v>46071</v>
      </c>
      <c r="D582" s="12">
        <f>WORKDAY(AR_age_category!$C582,$J$1)</f>
        <v>46113</v>
      </c>
      <c r="E582" s="13">
        <v>2271.23</v>
      </c>
      <c r="F582" s="21">
        <f ca="1">IF(AR_table[[#This Row],[due_date]]&gt;=TODAY(),0,NETWORKDAYS(AR_table[[#This Row],[due_date]],TODAY()))</f>
        <v>0</v>
      </c>
      <c r="G582" s="2" t="str">
        <f ca="1">VLOOKUP(AR_age_category!$F582,Table4[#All],2)</f>
        <v>Not due</v>
      </c>
    </row>
    <row r="583" spans="1:7" x14ac:dyDescent="0.3">
      <c r="A583" s="14" t="s">
        <v>573</v>
      </c>
      <c r="B583" s="4" t="s">
        <v>594</v>
      </c>
      <c r="C583" s="15">
        <v>45808</v>
      </c>
      <c r="D583" s="15">
        <f>WORKDAY(AR_age_category!$C583,$J$1)</f>
        <v>45849</v>
      </c>
      <c r="E583" s="16">
        <v>4290.32</v>
      </c>
      <c r="F583" s="21">
        <f ca="1">IF(AR_table[[#This Row],[due_date]]&gt;=TODAY(),0,NETWORKDAYS(AR_table[[#This Row],[due_date]],TODAY()))</f>
        <v>148</v>
      </c>
      <c r="G583" s="4" t="str">
        <f ca="1">VLOOKUP(AR_age_category!$F583,Table4[#All],2)</f>
        <v>&gt;90</v>
      </c>
    </row>
    <row r="584" spans="1:7" x14ac:dyDescent="0.3">
      <c r="A584" s="11" t="s">
        <v>574</v>
      </c>
      <c r="B584" s="2" t="s">
        <v>594</v>
      </c>
      <c r="C584" s="12">
        <v>45897</v>
      </c>
      <c r="D584" s="12">
        <f>WORKDAY(AR_age_category!$C584,$J$1)</f>
        <v>45939</v>
      </c>
      <c r="E584" s="13">
        <v>3562.01</v>
      </c>
      <c r="F584" s="21">
        <f ca="1">IF(AR_table[[#This Row],[due_date]]&gt;=TODAY(),0,NETWORKDAYS(AR_table[[#This Row],[due_date]],TODAY()))</f>
        <v>84</v>
      </c>
      <c r="G584" s="2" t="str">
        <f ca="1">VLOOKUP(AR_age_category!$F584,Table4[#All],2)</f>
        <v>61-90</v>
      </c>
    </row>
    <row r="585" spans="1:7" x14ac:dyDescent="0.3">
      <c r="A585" s="14" t="s">
        <v>575</v>
      </c>
      <c r="B585" s="4" t="s">
        <v>593</v>
      </c>
      <c r="C585" s="15">
        <v>45778</v>
      </c>
      <c r="D585" s="15">
        <f>WORKDAY(AR_age_category!$C585,$J$1)</f>
        <v>45820</v>
      </c>
      <c r="E585" s="16">
        <v>2117.4699999999998</v>
      </c>
      <c r="F585" s="21">
        <f ca="1">IF(AR_table[[#This Row],[due_date]]&gt;=TODAY(),0,NETWORKDAYS(AR_table[[#This Row],[due_date]],TODAY()))</f>
        <v>169</v>
      </c>
      <c r="G585" s="4" t="str">
        <f ca="1">VLOOKUP(AR_age_category!$F585,Table4[#All],2)</f>
        <v>&gt;90</v>
      </c>
    </row>
    <row r="586" spans="1:7" x14ac:dyDescent="0.3">
      <c r="A586" s="14" t="s">
        <v>576</v>
      </c>
      <c r="B586" s="4" t="s">
        <v>591</v>
      </c>
      <c r="C586" s="15">
        <v>45995</v>
      </c>
      <c r="D586" s="15">
        <f>WORKDAY(AR_age_category!$C586,$J$1)</f>
        <v>46037</v>
      </c>
      <c r="E586" s="16">
        <v>3933.4</v>
      </c>
      <c r="F586" s="21">
        <f ca="1">IF(AR_table[[#This Row],[due_date]]&gt;=TODAY(),0,NETWORKDAYS(AR_table[[#This Row],[due_date]],TODAY()))</f>
        <v>14</v>
      </c>
      <c r="G586" s="4" t="str">
        <f ca="1">VLOOKUP(AR_age_category!$F586,Table4[#All],2)</f>
        <v>1-30</v>
      </c>
    </row>
    <row r="587" spans="1:7" x14ac:dyDescent="0.3">
      <c r="A587" s="14" t="s">
        <v>577</v>
      </c>
      <c r="B587" s="4" t="s">
        <v>592</v>
      </c>
      <c r="C587" s="15">
        <v>45984</v>
      </c>
      <c r="D587" s="15">
        <f>WORKDAY(AR_age_category!$C587,$J$1)</f>
        <v>46024</v>
      </c>
      <c r="E587" s="16">
        <v>3365.08</v>
      </c>
      <c r="F587" s="21">
        <f ca="1">IF(AR_table[[#This Row],[due_date]]&gt;=TODAY(),0,NETWORKDAYS(AR_table[[#This Row],[due_date]],TODAY()))</f>
        <v>23</v>
      </c>
      <c r="G587" s="4" t="str">
        <f ca="1">VLOOKUP(AR_age_category!$F587,Table4[#All],2)</f>
        <v>1-30</v>
      </c>
    </row>
    <row r="588" spans="1:7" x14ac:dyDescent="0.3">
      <c r="A588" s="11" t="s">
        <v>578</v>
      </c>
      <c r="B588" s="2" t="s">
        <v>595</v>
      </c>
      <c r="C588" s="12">
        <v>45902</v>
      </c>
      <c r="D588" s="12">
        <f>WORKDAY(AR_age_category!$C588,$J$1)</f>
        <v>45944</v>
      </c>
      <c r="E588" s="13">
        <v>7336.13</v>
      </c>
      <c r="F588" s="21">
        <f ca="1">IF(AR_table[[#This Row],[due_date]]&gt;=TODAY(),0,NETWORKDAYS(AR_table[[#This Row],[due_date]],TODAY()))</f>
        <v>81</v>
      </c>
      <c r="G588" s="2" t="str">
        <f ca="1">VLOOKUP(AR_age_category!$F588,Table4[#All],2)</f>
        <v>61-90</v>
      </c>
    </row>
    <row r="589" spans="1:7" x14ac:dyDescent="0.3">
      <c r="A589" s="14" t="s">
        <v>579</v>
      </c>
      <c r="B589" s="4" t="s">
        <v>592</v>
      </c>
      <c r="C589" s="15">
        <v>45739</v>
      </c>
      <c r="D589" s="15">
        <f>WORKDAY(AR_age_category!$C589,$J$1)</f>
        <v>45779</v>
      </c>
      <c r="E589" s="16">
        <v>5117.88</v>
      </c>
      <c r="F589" s="21">
        <f ca="1">IF(AR_table[[#This Row],[due_date]]&gt;=TODAY(),0,NETWORKDAYS(AR_table[[#This Row],[due_date]],TODAY()))</f>
        <v>198</v>
      </c>
      <c r="G589" s="4" t="str">
        <f ca="1">VLOOKUP(AR_age_category!$F589,Table4[#All],2)</f>
        <v>&gt;90</v>
      </c>
    </row>
    <row r="590" spans="1:7" x14ac:dyDescent="0.3">
      <c r="A590" s="11" t="s">
        <v>580</v>
      </c>
      <c r="B590" s="2" t="s">
        <v>594</v>
      </c>
      <c r="C590" s="12">
        <v>45688</v>
      </c>
      <c r="D590" s="12">
        <f>WORKDAY(AR_age_category!$C590,$J$1)</f>
        <v>45730</v>
      </c>
      <c r="E590" s="13">
        <v>6307.06</v>
      </c>
      <c r="F590" s="21">
        <f ca="1">IF(AR_table[[#This Row],[due_date]]&gt;=TODAY(),0,NETWORKDAYS(AR_table[[#This Row],[due_date]],TODAY()))</f>
        <v>233</v>
      </c>
      <c r="G590" s="2" t="str">
        <f ca="1">VLOOKUP(AR_age_category!$F590,Table4[#All],2)</f>
        <v>&gt;90</v>
      </c>
    </row>
    <row r="591" spans="1:7" x14ac:dyDescent="0.3">
      <c r="A591" s="14" t="s">
        <v>581</v>
      </c>
      <c r="B591" s="4" t="s">
        <v>592</v>
      </c>
      <c r="C591" s="15">
        <v>45660</v>
      </c>
      <c r="D591" s="15">
        <f>WORKDAY(AR_age_category!$C591,$J$1)</f>
        <v>45702</v>
      </c>
      <c r="E591" s="16">
        <v>7493.25</v>
      </c>
      <c r="F591" s="21">
        <f ca="1">IF(AR_table[[#This Row],[due_date]]&gt;=TODAY(),0,NETWORKDAYS(AR_table[[#This Row],[due_date]],TODAY()))</f>
        <v>253</v>
      </c>
      <c r="G591" s="4" t="str">
        <f ca="1">VLOOKUP(AR_age_category!$F591,Table4[#All],2)</f>
        <v>&gt;90</v>
      </c>
    </row>
    <row r="592" spans="1:7" x14ac:dyDescent="0.3">
      <c r="A592" s="11" t="s">
        <v>582</v>
      </c>
      <c r="B592" s="2" t="s">
        <v>594</v>
      </c>
      <c r="C592" s="12">
        <v>46178</v>
      </c>
      <c r="D592" s="12">
        <f>WORKDAY(AR_age_category!$C592,$J$1)</f>
        <v>46220</v>
      </c>
      <c r="E592" s="13">
        <v>1666.55</v>
      </c>
      <c r="F592" s="21">
        <f ca="1">IF(AR_table[[#This Row],[due_date]]&gt;=TODAY(),0,NETWORKDAYS(AR_table[[#This Row],[due_date]],TODAY()))</f>
        <v>0</v>
      </c>
      <c r="G592" s="2" t="str">
        <f ca="1">VLOOKUP(AR_age_category!$F592,Table4[#All],2)</f>
        <v>Not due</v>
      </c>
    </row>
    <row r="593" spans="1:7" x14ac:dyDescent="0.3">
      <c r="A593" s="14" t="s">
        <v>583</v>
      </c>
      <c r="B593" s="4" t="s">
        <v>595</v>
      </c>
      <c r="C593" s="15">
        <v>45758</v>
      </c>
      <c r="D593" s="15">
        <f>WORKDAY(AR_age_category!$C593,$J$1)</f>
        <v>45800</v>
      </c>
      <c r="E593" s="16">
        <v>7661.86</v>
      </c>
      <c r="F593" s="21">
        <f ca="1">IF(AR_table[[#This Row],[due_date]]&gt;=TODAY(),0,NETWORKDAYS(AR_table[[#This Row],[due_date]],TODAY()))</f>
        <v>183</v>
      </c>
      <c r="G593" s="4" t="str">
        <f ca="1">VLOOKUP(AR_age_category!$F593,Table4[#All],2)</f>
        <v>&gt;90</v>
      </c>
    </row>
    <row r="594" spans="1:7" x14ac:dyDescent="0.3">
      <c r="A594" s="11" t="s">
        <v>584</v>
      </c>
      <c r="B594" s="2" t="s">
        <v>594</v>
      </c>
      <c r="C594" s="12">
        <v>45719</v>
      </c>
      <c r="D594" s="12">
        <f>WORKDAY(AR_age_category!$C594,$J$1)</f>
        <v>45761</v>
      </c>
      <c r="E594" s="13">
        <v>7168.62</v>
      </c>
      <c r="F594" s="21">
        <f ca="1">IF(AR_table[[#This Row],[due_date]]&gt;=TODAY(),0,NETWORKDAYS(AR_table[[#This Row],[due_date]],TODAY()))</f>
        <v>212</v>
      </c>
      <c r="G594" s="2" t="str">
        <f ca="1">VLOOKUP(AR_age_category!$F594,Table4[#All],2)</f>
        <v>&gt;90</v>
      </c>
    </row>
    <row r="595" spans="1:7" x14ac:dyDescent="0.3">
      <c r="A595" s="11" t="s">
        <v>585</v>
      </c>
      <c r="B595" s="2" t="s">
        <v>592</v>
      </c>
      <c r="C595" s="12">
        <v>45684</v>
      </c>
      <c r="D595" s="12">
        <f>WORKDAY(AR_age_category!$C595,$J$1)</f>
        <v>45726</v>
      </c>
      <c r="E595" s="13">
        <v>4387.1099999999997</v>
      </c>
      <c r="F595" s="21">
        <f ca="1">IF(AR_table[[#This Row],[due_date]]&gt;=TODAY(),0,NETWORKDAYS(AR_table[[#This Row],[due_date]],TODAY()))</f>
        <v>237</v>
      </c>
      <c r="G595" s="2" t="str">
        <f ca="1">VLOOKUP(AR_age_category!$F595,Table4[#All],2)</f>
        <v>&gt;90</v>
      </c>
    </row>
    <row r="596" spans="1:7" x14ac:dyDescent="0.3">
      <c r="A596" s="14" t="s">
        <v>586</v>
      </c>
      <c r="B596" s="4" t="s">
        <v>593</v>
      </c>
      <c r="C596" s="15">
        <v>45716</v>
      </c>
      <c r="D596" s="15">
        <f>WORKDAY(AR_age_category!$C596,$J$1)</f>
        <v>45758</v>
      </c>
      <c r="E596" s="16">
        <v>5828.29</v>
      </c>
      <c r="F596" s="21">
        <f ca="1">IF(AR_table[[#This Row],[due_date]]&gt;=TODAY(),0,NETWORKDAYS(AR_table[[#This Row],[due_date]],TODAY()))</f>
        <v>213</v>
      </c>
      <c r="G596" s="4" t="str">
        <f ca="1">VLOOKUP(AR_age_category!$F596,Table4[#All],2)</f>
        <v>&gt;90</v>
      </c>
    </row>
    <row r="597" spans="1:7" x14ac:dyDescent="0.3">
      <c r="A597" s="14" t="s">
        <v>587</v>
      </c>
      <c r="B597" s="4" t="s">
        <v>593</v>
      </c>
      <c r="C597" s="15">
        <v>45795</v>
      </c>
      <c r="D597" s="15">
        <f>WORKDAY(AR_age_category!$C597,$J$1)</f>
        <v>45835</v>
      </c>
      <c r="E597" s="16">
        <v>1980.71</v>
      </c>
      <c r="F597" s="21">
        <f ca="1">IF(AR_table[[#This Row],[due_date]]&gt;=TODAY(),0,NETWORKDAYS(AR_table[[#This Row],[due_date]],TODAY()))</f>
        <v>158</v>
      </c>
      <c r="G597" s="4" t="str">
        <f ca="1">VLOOKUP(AR_age_category!$F597,Table4[#All],2)</f>
        <v>&gt;90</v>
      </c>
    </row>
    <row r="598" spans="1:7" x14ac:dyDescent="0.3">
      <c r="A598" s="11" t="s">
        <v>588</v>
      </c>
      <c r="B598" s="2" t="s">
        <v>593</v>
      </c>
      <c r="C598" s="12">
        <v>46161</v>
      </c>
      <c r="D598" s="12">
        <f>WORKDAY(AR_age_category!$C598,$J$1)</f>
        <v>46203</v>
      </c>
      <c r="E598" s="13">
        <v>4129.08</v>
      </c>
      <c r="F598" s="21">
        <f ca="1">IF(AR_table[[#This Row],[due_date]]&gt;=TODAY(),0,NETWORKDAYS(AR_table[[#This Row],[due_date]],TODAY()))</f>
        <v>0</v>
      </c>
      <c r="G598" s="2" t="str">
        <f ca="1">VLOOKUP(AR_age_category!$F598,Table4[#All],2)</f>
        <v>Not due</v>
      </c>
    </row>
    <row r="599" spans="1:7" x14ac:dyDescent="0.3">
      <c r="A599" s="11" t="s">
        <v>589</v>
      </c>
      <c r="B599" s="2" t="s">
        <v>592</v>
      </c>
      <c r="C599" s="12">
        <v>46044</v>
      </c>
      <c r="D599" s="12">
        <f>WORKDAY(AR_age_category!$C599,$J$1)</f>
        <v>46086</v>
      </c>
      <c r="E599" s="13">
        <v>2056.42</v>
      </c>
      <c r="F599" s="21">
        <f ca="1">IF(AR_table[[#This Row],[due_date]]&gt;=TODAY(),0,NETWORKDAYS(AR_table[[#This Row],[due_date]],TODAY()))</f>
        <v>0</v>
      </c>
      <c r="G599" s="2" t="str">
        <f ca="1">VLOOKUP(AR_age_category!$F599,Table4[#All],2)</f>
        <v>Not due</v>
      </c>
    </row>
    <row r="600" spans="1:7" x14ac:dyDescent="0.3">
      <c r="A600" s="14" t="s">
        <v>590</v>
      </c>
      <c r="B600" s="4" t="s">
        <v>594</v>
      </c>
      <c r="C600" s="15">
        <v>46008</v>
      </c>
      <c r="D600" s="15">
        <f>WORKDAY(AR_age_category!$C600,$J$1)</f>
        <v>46050</v>
      </c>
      <c r="E600" s="16">
        <v>3136.3</v>
      </c>
      <c r="F600" s="21">
        <f ca="1">IF(AR_table[[#This Row],[due_date]]&gt;=TODAY(),0,NETWORKDAYS(AR_table[[#This Row],[due_date]],TODAY()))</f>
        <v>5</v>
      </c>
      <c r="G600" s="4" t="str">
        <f ca="1">VLOOKUP(AR_age_category!$F600,Table4[#All],2)</f>
        <v>1-30</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305D92-D747-4B22-9385-DE0FB2CDCC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aged_AR_chart</vt:lpstr>
      <vt:lpstr>AR_age_category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Sabrina Asri</dc:creator>
  <cp:lastModifiedBy>ajeng sabrina</cp:lastModifiedBy>
  <dcterms:created xsi:type="dcterms:W3CDTF">2025-06-28T04:56:09Z</dcterms:created>
  <dcterms:modified xsi:type="dcterms:W3CDTF">2026-02-03T10:21:55Z</dcterms:modified>
</cp:coreProperties>
</file>